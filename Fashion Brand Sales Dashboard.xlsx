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hidePivotFieldList="1"/>
  <mc:AlternateContent xmlns:mc="http://schemas.openxmlformats.org/markup-compatibility/2006">
    <mc:Choice Requires="x15">
      <x15ac:absPath xmlns:x15ac="http://schemas.microsoft.com/office/spreadsheetml/2010/11/ac" url="D:\Work\Chandoo.org\dashboards\26 mins dashboard\"/>
    </mc:Choice>
  </mc:AlternateContent>
  <xr:revisionPtr revIDLastSave="0" documentId="8_{8D27E15B-D8BA-4513-A166-F6817553EFDB}" xr6:coauthVersionLast="47" xr6:coauthVersionMax="47" xr10:uidLastSave="{00000000-0000-0000-0000-000000000000}"/>
  <bookViews>
    <workbookView xWindow="-108" yWindow="-108" windowWidth="30936" windowHeight="16776" firstSheet="3" activeTab="3" xr2:uid="{346724B3-1C49-40AE-AA36-C77CF5D6DD09}"/>
  </bookViews>
  <sheets>
    <sheet name="Data" sheetId="1" r:id="rId1"/>
    <sheet name="Pivot" sheetId="5" r:id="rId2"/>
    <sheet name="Questions &amp; KPIs" sheetId="2" r:id="rId3"/>
    <sheet name="Dashboard" sheetId="3" r:id="rId4"/>
    <sheet name="Logo &amp; Colors" sheetId="4" r:id="rId5"/>
  </sheets>
  <definedNames>
    <definedName name="_xlnm.Print_Area" localSheetId="3">Dashboard!$L$39:$L$39</definedName>
  </definedNames>
  <calcPr calcId="191028"/>
  <pivotCaches>
    <pivotCache cacheId="14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5" l="1"/>
  <c r="E42" i="5"/>
  <c r="E41" i="5"/>
  <c r="D41" i="5"/>
  <c r="D36" i="5"/>
  <c r="E36" i="5"/>
  <c r="D37" i="5"/>
  <c r="E37" i="5"/>
  <c r="D38" i="5"/>
  <c r="E38" i="5"/>
  <c r="D39" i="5"/>
  <c r="E39" i="5"/>
  <c r="D40" i="5"/>
  <c r="E40" i="5"/>
  <c r="E35" i="5"/>
  <c r="D35" i="5"/>
  <c r="I26" i="5"/>
  <c r="L25" i="5"/>
  <c r="K25" i="5"/>
  <c r="J25" i="5"/>
  <c r="I25" i="5"/>
  <c r="J30" i="5"/>
  <c r="J29" i="5"/>
  <c r="J28" i="5"/>
  <c r="J27" i="5"/>
  <c r="J26" i="5"/>
  <c r="I30" i="5"/>
  <c r="I29" i="5"/>
  <c r="I28" i="5"/>
  <c r="I27" i="5"/>
  <c r="H30" i="5"/>
  <c r="H29" i="5"/>
  <c r="H28" i="5"/>
  <c r="H27" i="5"/>
  <c r="H26" i="5"/>
  <c r="K26" i="5"/>
  <c r="L26" i="5"/>
  <c r="K27" i="5"/>
  <c r="L27" i="5"/>
  <c r="K28" i="5"/>
  <c r="L28" i="5"/>
  <c r="K29" i="5"/>
  <c r="L29" i="5"/>
  <c r="K30" i="5"/>
  <c r="L30" i="5"/>
  <c r="K4" i="5"/>
  <c r="B21" i="3"/>
  <c r="J4" i="5"/>
  <c r="B17" i="3" s="1"/>
  <c r="I4" i="5"/>
  <c r="B13" i="3" s="1"/>
  <c r="H4" i="5"/>
  <c r="B9" i="3" s="1"/>
  <c r="G4" i="5"/>
  <c r="B5" i="3" s="1"/>
  <c r="O2401" i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<sst xmlns="http://schemas.openxmlformats.org/spreadsheetml/2006/main" count="14765" uniqueCount="2577">
  <si>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</si>
  <si>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</si>
  <si>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</si>
  <si>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</si>
  <si>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</si>
  <si>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</si>
  <si>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</si>
  <si>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</si>
  <si>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</si>
  <si>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</si>
  <si>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</si>
  <si>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</si>
  <si>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</si>
  <si>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</si>
  <si>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</si>
  <si>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</si>
  <si>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</si>
  <si>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</si>
  <si>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</si>
  <si>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</si>
  <si>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</si>
  <si>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</si>
  <si>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</si>
  <si>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</si>
  <si>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</si>
  <si>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</si>
  <si>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</si>
  <si>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</si>
  <si>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</si>
  <si>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</si>
  <si>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</si>
  <si>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</si>
  <si>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</si>
  <si>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</si>
  <si>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</si>
  <si>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</si>
  <si>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</si>
  <si>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</si>
  <si>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</si>
  <si>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</si>
  <si>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</si>
  <si>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</si>
  <si>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</si>
  <si>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</si>
  <si>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</si>
  <si>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</si>
  <si>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</si>
  <si>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</si>
  <si>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</si>
  <si>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</si>
  <si>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</si>
  <si>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</si>
  <si>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</si>
  <si>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</si>
  <si>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</si>
  <si>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</si>
  <si>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</si>
  <si>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</si>
  <si>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</si>
  <si>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</si>
  <si>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</si>
  <si>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</si>
  <si>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</si>
  <si>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</si>
  <si>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</si>
  <si>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</si>
  <si>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</si>
  <si>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</si>
  <si>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</si>
  <si>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</si>
  <si>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</si>
  <si>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</si>
  <si>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</si>
  <si>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</si>
  <si>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</si>
  <si>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</si>
  <si>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</si>
  <si>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</si>
  <si>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</si>
  <si>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</si>
  <si>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</si>
  <si>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</si>
  <si>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</si>
  <si>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</si>
  <si>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</si>
  <si>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</si>
  <si>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</si>
  <si>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</si>
  <si>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</si>
  <si>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</si>
  <si>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</si>
  <si>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</si>
  <si>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</si>
  <si>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</si>
  <si>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</si>
  <si>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</si>
  <si>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</si>
  <si>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</si>
  <si>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</si>
  <si>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</si>
  <si>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</si>
  <si>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</si>
  <si>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</si>
  <si>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</si>
  <si>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</si>
  <si>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</si>
  <si>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</si>
  <si>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</si>
  <si>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</si>
  <si>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</si>
  <si>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</si>
  <si>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</si>
  <si>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</si>
  <si>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</si>
  <si>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</si>
  <si>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</si>
  <si>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</si>
  <si>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</si>
  <si>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</si>
  <si>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</si>
  <si>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</si>
  <si>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</si>
  <si>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</si>
  <si>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</si>
  <si>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</si>
  <si>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</si>
  <si>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</si>
  <si>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</si>
  <si>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</si>
  <si>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</si>
  <si>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</si>
  <si>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</si>
  <si>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</si>
  <si>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</si>
  <si>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</si>
  <si>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</si>
  <si>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</si>
  <si>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</si>
  <si>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</si>
  <si>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</si>
  <si>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</si>
  <si>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</si>
  <si>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</si>
  <si>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</si>
  <si>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</si>
  <si>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</si>
  <si>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</si>
  <si>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</si>
  <si>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</si>
  <si>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</si>
  <si>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</si>
  <si>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</si>
  <si>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</si>
  <si>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</si>
  <si>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</si>
  <si>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</si>
  <si>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</si>
  <si>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</si>
  <si>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</si>
  <si>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</si>
  <si>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</si>
  <si>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</si>
  <si>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</si>
  <si>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</si>
  <si>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</si>
  <si>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</si>
  <si>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</si>
  <si>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</si>
  <si>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</si>
  <si>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</si>
  <si>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</si>
  <si>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</si>
  <si>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</si>
  <si>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</si>
  <si>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</si>
  <si>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</si>
  <si>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</si>
  <si>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</si>
  <si>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</si>
  <si>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</si>
  <si>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</si>
  <si>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</si>
  <si>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</si>
  <si>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</si>
  <si>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</si>
  <si>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</si>
  <si>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</si>
  <si>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</si>
  <si>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</si>
  <si>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</si>
  <si>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</si>
  <si>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</si>
  <si>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</si>
  <si>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</si>
  <si>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</si>
  <si>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</si>
  <si>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</si>
  <si>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</si>
  <si>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</si>
  <si>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</si>
  <si>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</si>
  <si>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</si>
  <si>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</si>
  <si>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</si>
  <si>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</si>
  <si>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</si>
  <si>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</si>
  <si>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</si>
  <si>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</si>
  <si>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</si>
  <si>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</si>
  <si>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</si>
  <si>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</si>
  <si>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</si>
  <si>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</si>
  <si>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</si>
  <si>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</si>
  <si>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</si>
  <si>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</si>
  <si>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</si>
  <si>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</si>
  <si>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</si>
  <si>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</si>
  <si>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</si>
  <si>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</si>
  <si>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</si>
  <si>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</si>
  <si>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</si>
  <si>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</si>
  <si>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</si>
  <si>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</si>
  <si>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</si>
  <si>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</si>
  <si>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</si>
  <si>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</si>
  <si>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</si>
  <si>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</si>
  <si>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</si>
  <si>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</si>
  <si>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</si>
  <si>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</si>
  <si>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</si>
  <si>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</si>
  <si>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</si>
  <si>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</si>
  <si>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</si>
  <si>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</si>
  <si>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</si>
  <si>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</si>
  <si>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</si>
  <si>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</si>
  <si>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</si>
  <si>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</si>
  <si>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</si>
  <si>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</si>
  <si>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</si>
  <si>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</si>
  <si>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</si>
  <si>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</si>
  <si>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</si>
  <si>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</si>
  <si>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</si>
  <si>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</si>
  <si>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</si>
  <si>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</si>
  <si>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</si>
  <si>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</si>
  <si>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</si>
  <si>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</si>
  <si>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</si>
  <si>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</si>
  <si>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</si>
  <si>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</si>
  <si>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</si>
  <si>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</si>
  <si>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</si>
  <si>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</si>
  <si>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</si>
  <si>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</si>
  <si>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</si>
  <si>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</si>
  <si>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</si>
  <si>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</si>
  <si>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</si>
  <si>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</si>
  <si>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</si>
  <si>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</si>
  <si>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</si>
  <si>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</si>
  <si>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</si>
  <si>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</si>
  <si>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</si>
  <si>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</si>
  <si>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</si>
  <si>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</si>
  <si>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</si>
  <si>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</si>
  <si>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</si>
  <si>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</si>
  <si>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</si>
  <si>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</si>
  <si>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</si>
  <si>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</si>
  <si>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</si>
  <si>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</si>
  <si>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</si>
  <si>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</si>
  <si>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</si>
  <si>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</si>
  <si>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</si>
  <si>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</si>
  <si>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</si>
  <si>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</si>
  <si>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</si>
  <si>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</si>
  <si>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</si>
  <si>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</si>
  <si>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</si>
  <si>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</si>
  <si>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</si>
  <si>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</si>
  <si>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</si>
  <si>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</si>
  <si>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</si>
  <si>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</si>
  <si>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</si>
  <si>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</si>
  <si>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</si>
  <si>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</si>
  <si>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</si>
  <si>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</si>
  <si>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</si>
  <si>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</si>
  <si>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</si>
  <si>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</si>
  <si>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</si>
  <si>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</si>
  <si>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</si>
  <si>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</si>
  <si>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</si>
  <si>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</si>
  <si>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</si>
  <si>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</si>
  <si>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</si>
  <si>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</si>
  <si>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</si>
  <si>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</si>
  <si>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</si>
  <si>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</si>
  <si>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</si>
  <si>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</si>
  <si>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</si>
  <si>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</si>
  <si>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</si>
  <si>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</si>
  <si>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</si>
  <si>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</si>
  <si>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</si>
  <si>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</si>
  <si>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</si>
  <si>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</si>
  <si>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</si>
  <si>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</si>
  <si>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</si>
  <si>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</si>
  <si>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</si>
  <si>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</si>
  <si>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</si>
  <si>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</si>
  <si>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</si>
  <si>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</si>
  <si>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</si>
  <si>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</si>
  <si>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</si>
  <si>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</si>
  <si>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</si>
  <si>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</si>
  <si>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</si>
  <si>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</si>
  <si>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</si>
  <si>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</si>
  <si>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</si>
  <si>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</si>
  <si>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</si>
  <si>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</si>
  <si>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</si>
  <si>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</si>
  <si>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</si>
  <si>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</si>
  <si>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</si>
  <si>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</si>
  <si>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</si>
  <si>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</si>
  <si>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</si>
  <si>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</si>
  <si>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</si>
  <si>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</si>
  <si>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</si>
  <si>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</si>
  <si>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</si>
  <si>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</si>
  <si>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</si>
  <si>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</si>
  <si>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</si>
  <si>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</si>
  <si>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</si>
  <si>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</si>
  <si>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</si>
  <si>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</si>
  <si>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</si>
  <si>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</si>
  <si>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</si>
  <si>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</si>
  <si>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</si>
  <si>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</si>
  <si>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</si>
  <si>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</si>
  <si>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</si>
  <si>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</si>
  <si>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</si>
  <si>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</si>
  <si>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</si>
  <si>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</si>
  <si>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</si>
  <si>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</si>
  <si>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</si>
  <si>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</si>
  <si>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</si>
  <si>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</si>
  <si>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</si>
  <si>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</si>
  <si>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</si>
  <si>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</si>
  <si>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</si>
  <si>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</si>
  <si>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</si>
  <si>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</si>
  <si>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</si>
  <si>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</si>
  <si>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</si>
  <si>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</si>
  <si>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</si>
  <si>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</si>
  <si>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</si>
  <si>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</si>
  <si>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</si>
  <si>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</si>
  <si>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</si>
  <si>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</si>
  <si>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</si>
  <si>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</si>
  <si>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</si>
  <si>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</si>
  <si>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</si>
  <si>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</si>
  <si>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</si>
  <si>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</si>
  <si>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</si>
  <si>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</si>
  <si>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</si>
  <si>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</si>
  <si>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</si>
  <si>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</si>
  <si>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</si>
  <si>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</si>
  <si>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</si>
  <si>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</si>
  <si>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</si>
  <si>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</si>
  <si>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</si>
  <si>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</si>
  <si>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</si>
  <si>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</si>
  <si>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</si>
  <si>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</si>
  <si>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</si>
  <si>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</si>
  <si>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</si>
  <si>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</si>
  <si>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</si>
  <si>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</si>
  <si>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</si>
  <si>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</si>
  <si>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</si>
  <si>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</si>
  <si>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</si>
  <si>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</si>
  <si>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</si>
  <si>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</si>
  <si>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</si>
  <si>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</si>
  <si>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</si>
  <si>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</si>
  <si>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</si>
  <si>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</si>
  <si>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</si>
  <si>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</si>
  <si>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</si>
  <si>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</si>
  <si>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</si>
  <si>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</si>
  <si>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</si>
  <si>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</si>
  <si>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</si>
  <si>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</si>
  <si>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</si>
  <si>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</si>
  <si>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</si>
  <si>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</si>
  <si>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</si>
  <si>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</si>
  <si>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</si>
  <si>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</si>
  <si>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</si>
  <si>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</si>
  <si>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</si>
  <si>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</si>
  <si>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</si>
  <si>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</si>
  <si>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</si>
  <si>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</si>
  <si>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</si>
  <si>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</si>
  <si>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</si>
  <si>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</si>
  <si>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</si>
  <si>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</si>
  <si>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</si>
  <si>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</si>
  <si>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</si>
  <si>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</si>
  <si>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</si>
  <si>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</si>
  <si>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</si>
  <si>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</si>
  <si>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</si>
  <si>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</si>
  <si>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</si>
  <si>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</si>
  <si>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</si>
  <si>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</si>
  <si>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</si>
  <si>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</si>
  <si>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</si>
  <si>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</si>
  <si>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</si>
  <si>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</si>
  <si>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</si>
  <si>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</si>
  <si>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</si>
  <si>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</si>
  <si>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</si>
  <si>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</si>
  <si>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</si>
  <si>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</si>
  <si>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</si>
  <si>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</si>
  <si>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</si>
  <si>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</si>
  <si>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</si>
  <si>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</si>
  <si>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</si>
  <si>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</si>
  <si>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</si>
  <si>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</si>
  <si>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</si>
  <si>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</si>
  <si>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</si>
  <si>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</si>
  <si>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</si>
  <si>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</si>
  <si>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</si>
  <si>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</si>
  <si>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</si>
  <si>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</si>
  <si>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</si>
  <si>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</si>
  <si>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</si>
  <si>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</si>
  <si>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</si>
  <si>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</si>
  <si>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</si>
  <si>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</si>
  <si>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</si>
  <si>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</si>
  <si>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</si>
  <si>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</si>
  <si>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</si>
  <si>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</si>
  <si>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</si>
  <si>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</si>
  <si>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</si>
  <si>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</si>
  <si>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</si>
  <si>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</si>
  <si>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</si>
  <si>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</si>
  <si>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</si>
  <si>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</si>
  <si>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</si>
  <si>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</si>
  <si>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</si>
  <si>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</si>
  <si>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</si>
  <si>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</si>
  <si>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</si>
  <si>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</si>
  <si>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</si>
  <si>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</si>
  <si>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</si>
  <si>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</si>
  <si>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</si>
  <si>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</si>
  <si>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</si>
  <si>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</si>
  <si>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</si>
  <si>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</si>
  <si>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</si>
  <si>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</si>
  <si>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</si>
  <si>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</si>
  <si>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</si>
  <si>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</si>
  <si>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</si>
  <si>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</si>
  <si>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</si>
  <si>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</si>
  <si>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</si>
  <si>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</si>
  <si>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</si>
  <si>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</si>
  <si>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</si>
  <si>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</si>
  <si>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</si>
  <si>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</si>
  <si>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</si>
  <si>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</si>
  <si>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</si>
  <si>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</si>
  <si>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</si>
  <si>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</si>
  <si>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</si>
  <si>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</si>
  <si>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</si>
  <si>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</si>
  <si>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</si>
  <si>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</si>
  <si>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</si>
  <si>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</si>
  <si>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</si>
  <si>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</si>
  <si>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</si>
  <si>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</si>
  <si>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</si>
  <si>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</si>
  <si>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</si>
  <si>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</si>
  <si>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</si>
  <si>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</si>
  <si>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</si>
  <si>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</si>
  <si>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</si>
  <si>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</si>
  <si>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</si>
  <si>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</si>
  <si>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</si>
  <si>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</si>
  <si>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</si>
  <si>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</si>
  <si>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</si>
  <si>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</si>
  <si>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</si>
  <si>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</si>
  <si>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</si>
  <si>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</si>
  <si>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</si>
  <si>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</si>
  <si>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</si>
  <si>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</si>
  <si>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</si>
  <si>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</si>
  <si>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</si>
  <si>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</si>
  <si>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</si>
  <si>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</si>
  <si>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</si>
  <si>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</si>
  <si>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</si>
  <si>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</si>
  <si>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</si>
  <si>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</si>
  <si>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</si>
  <si>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</si>
  <si>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</si>
  <si>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</si>
  <si>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</si>
  <si>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</si>
  <si>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</si>
  <si>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</si>
  <si>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</si>
  <si>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</si>
  <si>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</si>
  <si>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</si>
  <si>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</si>
  <si>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</si>
  <si>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</si>
  <si>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</si>
  <si>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</si>
  <si>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</si>
  <si>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</si>
  <si>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</si>
  <si>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</si>
  <si>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</si>
  <si>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</si>
  <si>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</si>
  <si>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</si>
  <si>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</si>
  <si>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</si>
  <si>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</si>
  <si>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</si>
  <si>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</si>
  <si>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</si>
  <si>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</si>
  <si>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</si>
  <si>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</si>
  <si>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</si>
  <si>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</si>
  <si>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</si>
  <si>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</si>
  <si>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</si>
  <si>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</si>
  <si>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</si>
  <si>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</si>
  <si>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</si>
  <si>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</si>
  <si>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</si>
  <si>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</si>
  <si>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</si>
  <si>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</si>
  <si>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</si>
  <si>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</si>
  <si>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</si>
  <si>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</si>
  <si>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</si>
  <si>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</si>
  <si>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</si>
  <si>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</si>
  <si>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</si>
  <si>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</si>
  <si>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</si>
  <si>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</si>
  <si>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</si>
  <si>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</si>
  <si>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</si>
  <si>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</si>
  <si>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</si>
  <si>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</si>
  <si>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</si>
  <si>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</si>
  <si>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</si>
  <si>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</si>
  <si>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</si>
  <si>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</si>
  <si>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</si>
  <si>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</si>
  <si>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</si>
  <si>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</si>
  <si>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</si>
  <si>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</si>
  <si>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</si>
  <si>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</si>
  <si>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</si>
  <si>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</si>
  <si>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</si>
  <si>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</si>
  <si>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</si>
  <si>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</si>
  <si>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</si>
  <si>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</si>
  <si>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</si>
  <si>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</si>
  <si>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</si>
  <si>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</si>
  <si>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</si>
  <si>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</si>
  <si>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</si>
  <si>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</si>
  <si>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</si>
  <si>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</si>
  <si>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</si>
  <si>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</si>
  <si>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</si>
  <si>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</si>
  <si>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</si>
  <si>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</si>
  <si>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</si>
  <si>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</si>
  <si>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</si>
  <si>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</si>
  <si>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</si>
  <si>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</si>
  <si>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</si>
  <si>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</si>
  <si>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</si>
  <si>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</si>
  <si>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</si>
  <si>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</si>
  <si>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</si>
  <si>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</si>
  <si>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</si>
  <si>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</si>
  <si>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</si>
  <si>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</si>
  <si>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</si>
  <si>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</si>
  <si>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</si>
  <si>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</si>
  <si>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</si>
  <si>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</si>
  <si>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</si>
  <si>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</si>
  <si>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</si>
  <si>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</si>
  <si>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</si>
  <si>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</si>
  <si>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</si>
  <si>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</si>
  <si>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</si>
  <si>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</si>
  <si>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</si>
  <si>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</si>
  <si>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</si>
  <si>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</si>
  <si>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</si>
  <si>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</si>
  <si>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</si>
  <si>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</si>
  <si>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</si>
  <si>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</si>
  <si>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</si>
  <si>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</si>
  <si>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</si>
  <si>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</si>
  <si>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</si>
  <si>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</si>
  <si>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</si>
  <si>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</si>
  <si>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</si>
  <si>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</si>
  <si>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</si>
  <si>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</si>
  <si>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</si>
  <si>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</si>
  <si>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</si>
  <si>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</si>
  <si>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</si>
  <si>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</si>
  <si>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</si>
  <si>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</si>
  <si>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</si>
  <si>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</si>
  <si>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</si>
  <si>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</si>
  <si>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</si>
  <si>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</si>
  <si>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</si>
  <si>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</si>
  <si>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</si>
  <si>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</si>
  <si>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</si>
  <si>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</si>
  <si>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</si>
  <si>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</si>
  <si>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</si>
  <si>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</si>
  <si>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</si>
  <si>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</si>
  <si>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</si>
  <si>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</si>
  <si>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</si>
  <si>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</si>
  <si>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</si>
  <si>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</si>
  <si>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</si>
  <si>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</si>
  <si>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</si>
  <si>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</si>
  <si>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</si>
  <si>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</si>
  <si>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</si>
  <si>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</si>
  <si>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</si>
  <si>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</si>
  <si>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</si>
  <si>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</si>
  <si>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</si>
  <si>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</si>
  <si>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</si>
  <si>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</si>
  <si>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</si>
  <si>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</si>
  <si>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</si>
  <si>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</si>
  <si>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</si>
  <si>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</si>
  <si>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</si>
  <si>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</si>
  <si>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</si>
  <si>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</si>
  <si>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</si>
  <si>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</si>
  <si>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</si>
  <si>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</si>
  <si>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</si>
  <si>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</si>
  <si>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</si>
  <si>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</si>
  <si>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</si>
  <si>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</si>
  <si>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</si>
  <si>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</si>
  <si>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</si>
  <si>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</si>
  <si>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</si>
  <si>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</si>
  <si>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</si>
  <si>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</si>
  <si>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</si>
  <si>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</si>
  <si>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</si>
  <si>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</si>
  <si>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</si>
  <si>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</si>
  <si>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</si>
  <si>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</si>
  <si>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</si>
  <si>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</si>
  <si>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</si>
  <si>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</si>
  <si>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</si>
  <si>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</si>
  <si>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</si>
  <si>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</si>
  <si>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</si>
  <si>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</si>
  <si>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</si>
  <si>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</si>
  <si>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</si>
  <si>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</si>
  <si>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</si>
  <si>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</si>
  <si>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</si>
  <si>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</si>
  <si>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</si>
  <si>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</si>
  <si>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</si>
  <si>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</si>
  <si>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</si>
  <si>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</si>
  <si>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</si>
  <si>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</si>
  <si>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</si>
  <si>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</si>
  <si>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</si>
  <si>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</si>
  <si>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</si>
  <si>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</si>
  <si>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</si>
  <si>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</si>
  <si>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</si>
  <si>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</si>
  <si>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</si>
  <si>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</si>
  <si>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</si>
  <si>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</si>
  <si>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</si>
  <si>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</si>
  <si>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</si>
  <si>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</si>
  <si>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</si>
  <si>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</si>
  <si>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</si>
  <si>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</si>
  <si>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</si>
  <si>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</si>
  <si>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</si>
  <si>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</si>
  <si>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</si>
  <si>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</si>
  <si>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</si>
  <si>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</si>
  <si>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</si>
  <si>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</si>
  <si>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</si>
  <si>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</si>
  <si>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</si>
  <si>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</si>
  <si>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</si>
  <si>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</si>
  <si>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</si>
  <si>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</si>
  <si>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</si>
  <si>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</si>
  <si>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</si>
  <si>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</si>
  <si>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</si>
  <si>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</si>
  <si>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</si>
  <si>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</si>
  <si>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</si>
  <si>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</si>
  <si>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</si>
  <si>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</si>
  <si>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</si>
  <si>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</si>
  <si>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</si>
  <si>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</si>
  <si>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</si>
  <si>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</si>
  <si>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</si>
  <si>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</si>
  <si>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</si>
  <si>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</si>
  <si>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</si>
  <si>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</si>
  <si>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</si>
  <si>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</si>
  <si>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</si>
  <si>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</si>
  <si>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</si>
  <si>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</si>
  <si>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</si>
  <si>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</si>
  <si>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</si>
  <si>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</si>
  <si>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</si>
  <si>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</si>
  <si>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</si>
  <si>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</si>
  <si>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</si>
  <si>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</si>
  <si>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</si>
  <si>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</si>
  <si>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</si>
  <si>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</si>
  <si>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</si>
  <si>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</si>
  <si>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</si>
  <si>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</si>
  <si>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</si>
  <si>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</si>
  <si>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</si>
  <si>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</si>
  <si>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</si>
  <si>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</si>
  <si>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</si>
  <si>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</si>
  <si>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</si>
  <si>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</si>
  <si>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</si>
  <si>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</si>
  <si>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</si>
  <si>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</si>
  <si>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</si>
  <si>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</si>
  <si>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</si>
  <si>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</si>
  <si>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</si>
  <si>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</si>
  <si>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</si>
  <si>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</si>
  <si>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</si>
  <si>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</si>
  <si>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</si>
  <si>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</si>
  <si>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</si>
  <si>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</si>
  <si>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</si>
  <si>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</si>
  <si>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</si>
  <si>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</si>
  <si>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</si>
  <si>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</si>
  <si>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</si>
  <si>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</si>
  <si>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</si>
  <si>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</si>
  <si>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</si>
  <si>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</si>
  <si>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</si>
  <si>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</si>
  <si>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</si>
  <si>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</si>
  <si>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</si>
  <si>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</si>
  <si>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</si>
  <si>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</si>
  <si>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</si>
  <si>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</si>
  <si>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</si>
  <si>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</si>
  <si>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</si>
  <si>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</si>
  <si>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</si>
  <si>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</si>
  <si>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</si>
  <si>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</si>
  <si>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</si>
  <si>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</si>
  <si>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</si>
  <si>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</si>
  <si>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</si>
  <si>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</si>
  <si>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</si>
  <si>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</si>
  <si>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</si>
  <si>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</si>
  <si>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</si>
  <si>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</si>
  <si>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</si>
  <si>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</si>
  <si>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</si>
  <si>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</si>
  <si>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</si>
  <si>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</si>
  <si>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</si>
  <si>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</si>
  <si>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</si>
  <si>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</si>
  <si>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</si>
  <si>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</si>
  <si>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</si>
  <si>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</si>
  <si>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</si>
  <si>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</si>
  <si>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</si>
  <si>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</si>
  <si>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</si>
  <si>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</si>
  <si>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</si>
  <si>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</si>
  <si>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</si>
  <si>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</si>
  <si>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</si>
  <si>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</si>
  <si>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</si>
  <si>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</si>
  <si>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</si>
  <si>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</si>
  <si>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</si>
  <si>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</si>
  <si>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</si>
  <si>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</si>
  <si>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</si>
  <si>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</si>
  <si>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</si>
  <si>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</si>
  <si>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</si>
  <si>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</si>
  <si>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</si>
  <si>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</si>
  <si>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</si>
  <si>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</si>
  <si>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</si>
  <si>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</si>
  <si>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</si>
  <si>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</si>
  <si>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</si>
  <si>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</si>
  <si>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</si>
  <si>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</si>
  <si>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</si>
  <si>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</si>
  <si>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</si>
  <si>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</si>
  <si>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</si>
  <si>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</si>
  <si>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</si>
  <si>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</si>
  <si>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</si>
  <si>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</si>
  <si>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</si>
  <si>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</si>
  <si>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</si>
  <si>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</si>
  <si>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</si>
  <si>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</si>
  <si>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</si>
  <si>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</si>
  <si>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</si>
  <si>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</si>
  <si>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</si>
  <si>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</si>
  <si>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</si>
  <si>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</si>
  <si>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</si>
  <si>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</si>
  <si>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</si>
  <si>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</si>
  <si>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</si>
  <si>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</si>
  <si>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</si>
  <si>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</si>
  <si>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</si>
  <si>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</si>
  <si>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</si>
  <si>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</si>
  <si>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</si>
  <si>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</si>
  <si>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</si>
  <si>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</si>
  <si>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</si>
  <si>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</si>
  <si>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</si>
  <si>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</si>
  <si>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</si>
  <si>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</si>
  <si>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</si>
  <si>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</si>
  <si>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</si>
  <si>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</si>
  <si>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</si>
  <si>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</si>
  <si>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</si>
  <si>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</si>
  <si>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</si>
  <si>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</si>
  <si>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</si>
  <si>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</si>
  <si>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</si>
  <si>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</si>
  <si>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</si>
  <si>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</si>
  <si>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</si>
  <si>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</si>
  <si>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</si>
  <si>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</si>
  <si>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</si>
  <si>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</si>
  <si>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</si>
  <si>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</si>
  <si>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</si>
  <si>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</si>
  <si>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</si>
  <si>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</si>
  <si>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</si>
  <si>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</si>
  <si>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</si>
  <si>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</si>
  <si>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</si>
  <si>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</si>
  <si>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</si>
  <si>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</si>
  <si>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</si>
  <si>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</si>
  <si>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</si>
  <si>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</si>
  <si>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</si>
  <si>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</si>
  <si>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</si>
  <si>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</si>
  <si>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</si>
  <si>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</si>
  <si>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</si>
  <si>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</si>
  <si>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</si>
  <si>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</si>
  <si>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</si>
  <si>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</si>
  <si>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</si>
  <si>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</si>
  <si>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</si>
  <si>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</si>
  <si>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</si>
  <si>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</si>
  <si>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</si>
  <si>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</si>
  <si>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</si>
  <si>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</si>
  <si>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</si>
  <si>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</si>
  <si>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</si>
  <si>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</si>
  <si>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</si>
  <si>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</si>
  <si>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</si>
  <si>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</si>
  <si>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</si>
  <si>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</si>
  <si>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</si>
  <si>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</si>
  <si>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</si>
  <si>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</si>
  <si>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</si>
  <si>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</si>
  <si>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</si>
  <si>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</si>
  <si>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</si>
  <si>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</si>
  <si>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</si>
  <si>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</si>
  <si>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</si>
  <si>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</si>
  <si>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</si>
  <si>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</si>
  <si>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</si>
  <si>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</si>
  <si>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</si>
  <si>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</si>
  <si>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</si>
  <si>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</si>
  <si>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</si>
  <si>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</si>
  <si>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</si>
  <si>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</si>
  <si>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</si>
  <si>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</si>
  <si>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</si>
  <si>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</si>
  <si>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</si>
  <si>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</si>
  <si>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</si>
  <si>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</si>
  <si>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</si>
  <si>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</si>
  <si>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</si>
  <si>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</si>
  <si>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</si>
  <si>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</si>
  <si>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</si>
  <si>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</si>
  <si>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</si>
  <si>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</si>
  <si>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</si>
  <si>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</si>
  <si>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</si>
  <si>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</si>
  <si>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</si>
  <si>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</si>
  <si>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</si>
  <si>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</si>
  <si>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</si>
  <si>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</si>
  <si>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</si>
  <si>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</si>
  <si>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</si>
  <si>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</si>
  <si>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</si>
  <si>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</si>
  <si>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</si>
  <si>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</si>
  <si>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</si>
  <si>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</si>
  <si>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</si>
  <si>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</si>
  <si>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</si>
  <si>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</si>
  <si>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</si>
  <si>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</si>
  <si>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</si>
  <si>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</si>
  <si>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</si>
  <si>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</si>
  <si>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</si>
  <si>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</si>
  <si>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</si>
  <si>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</si>
  <si>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</si>
  <si>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</si>
  <si>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</si>
  <si>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</si>
  <si>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</si>
  <si>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</si>
  <si>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</si>
  <si>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</si>
  <si>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</si>
  <si>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</si>
  <si>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</si>
  <si>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</si>
  <si>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</si>
  <si>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</si>
  <si>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</si>
  <si>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</si>
  <si>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</si>
  <si>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</si>
  <si>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</si>
  <si>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</si>
  <si>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</si>
  <si>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</si>
  <si>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</si>
  <si>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</si>
  <si>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</si>
  <si>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</si>
  <si>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</si>
  <si>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</si>
  <si>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</si>
  <si>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</si>
  <si>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</si>
  <si>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</si>
  <si>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</si>
  <si>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</si>
  <si>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</si>
  <si>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</si>
  <si>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</si>
  <si>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</si>
  <si>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</si>
  <si>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</si>
  <si>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</si>
  <si>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</si>
  <si>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</si>
  <si>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</si>
  <si>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</si>
  <si>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</si>
  <si>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</si>
  <si>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</si>
  <si>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</si>
  <si>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</si>
  <si>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</si>
  <si>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</si>
  <si>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</si>
  <si>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</si>
  <si>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</si>
  <si>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</si>
  <si>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</si>
  <si>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</si>
  <si>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</si>
  <si>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</si>
  <si>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</si>
  <si>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</si>
  <si>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</si>
  <si>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</si>
  <si>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</si>
  <si>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</si>
  <si>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</si>
  <si>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</si>
  <si>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</si>
  <si>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</si>
  <si>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</si>
  <si>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</si>
  <si>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</si>
  <si>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</si>
  <si>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</si>
  <si>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</si>
  <si>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</si>
  <si>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</si>
  <si>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</si>
  <si>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</si>
  <si>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</si>
  <si>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</si>
  <si>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</si>
  <si>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</si>
  <si>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</si>
  <si>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</si>
  <si>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</si>
  <si>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</si>
  <si>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</si>
  <si>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</si>
  <si>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</si>
  <si>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</si>
  <si>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</si>
  <si>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</si>
  <si>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</si>
  <si>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</si>
  <si>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</si>
  <si>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</si>
  <si>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</si>
  <si>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</si>
  <si>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</si>
  <si>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</si>
  <si>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</si>
  <si>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</si>
  <si>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</si>
  <si>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</si>
  <si>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</si>
  <si>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</si>
  <si>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</si>
  <si>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</si>
  <si>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</si>
  <si>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</si>
  <si>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</si>
  <si>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</si>
  <si>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</si>
  <si>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</si>
  <si>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</si>
  <si>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</si>
  <si>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</si>
  <si>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</si>
  <si>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</si>
  <si>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</si>
  <si>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</si>
  <si>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</si>
  <si>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</si>
  <si>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</si>
  <si>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</si>
  <si>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</si>
  <si>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</si>
  <si>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</si>
  <si>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</si>
  <si>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</si>
  <si>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</si>
  <si>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</si>
  <si>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</si>
  <si>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</si>
  <si>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</si>
  <si>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</si>
  <si>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</si>
  <si>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</si>
  <si>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</si>
  <si>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</si>
  <si>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</si>
  <si>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</si>
  <si>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</si>
  <si>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</si>
  <si>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</si>
  <si>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</si>
  <si>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</si>
  <si>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</si>
  <si>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</si>
  <si>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</si>
  <si>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</si>
  <si>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</si>
  <si>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</si>
  <si>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</si>
  <si>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</si>
  <si>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</si>
  <si>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</si>
  <si>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</si>
  <si>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</si>
  <si>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</si>
  <si>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</si>
  <si>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</si>
  <si>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</si>
  <si>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</si>
  <si>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</si>
  <si>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</si>
  <si>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</si>
  <si>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</si>
  <si>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</si>
  <si>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</si>
  <si>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</si>
  <si>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</si>
  <si>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</si>
  <si>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</si>
  <si>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</si>
  <si>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</si>
  <si>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</si>
  <si>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</si>
  <si>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</si>
  <si>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</si>
  <si>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</si>
  <si>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</si>
  <si>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</si>
  <si>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</si>
  <si>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</si>
  <si>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</si>
  <si>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</si>
  <si>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</si>
  <si>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</si>
  <si>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</si>
  <si>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</si>
  <si>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</si>
  <si>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</si>
  <si>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</si>
  <si>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</si>
  <si>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</si>
  <si>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</si>
  <si>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</si>
  <si>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</si>
  <si>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</si>
  <si>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</si>
  <si>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</si>
  <si>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</si>
  <si>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</si>
  <si>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</si>
  <si>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</si>
  <si>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</si>
  <si>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</si>
  <si>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</si>
  <si>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</si>
  <si>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</si>
  <si>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</si>
  <si>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</si>
  <si>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</si>
  <si>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</si>
  <si>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</si>
  <si>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</si>
  <si>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</si>
  <si>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</si>
  <si>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</si>
  <si>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</si>
  <si>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</si>
  <si>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</si>
  <si>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</si>
  <si>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</si>
  <si>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</si>
  <si>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</si>
  <si>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</si>
  <si>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</si>
  <si>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</si>
  <si>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</si>
  <si>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</si>
  <si>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</si>
  <si>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</si>
  <si>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</si>
  <si>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</si>
  <si>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</si>
  <si>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</si>
  <si>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</si>
  <si>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</si>
  <si>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</si>
  <si>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</si>
  <si>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</si>
  <si>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</si>
  <si>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</si>
  <si>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</si>
  <si>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</si>
  <si>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</si>
  <si>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</si>
  <si>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</si>
  <si>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</si>
  <si>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</si>
  <si>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</si>
  <si>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</si>
  <si>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</si>
  <si>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</si>
  <si>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</si>
  <si>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</si>
  <si>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</si>
  <si>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</si>
  <si>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</si>
  <si>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</si>
  <si>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</si>
  <si>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</si>
  <si>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</si>
  <si>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</si>
  <si>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</si>
  <si>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</si>
  <si>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</si>
  <si>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</si>
  <si>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</si>
  <si>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</si>
  <si>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</si>
  <si>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</si>
  <si>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</si>
  <si>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</si>
  <si>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</si>
  <si>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</si>
  <si>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</si>
  <si>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</si>
  <si>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</si>
  <si>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</si>
  <si>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</si>
  <si>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</si>
  <si>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</si>
  <si>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</si>
  <si>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</si>
  <si>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</si>
  <si>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</si>
  <si>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</si>
  <si>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</si>
  <si>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</si>
  <si>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</si>
  <si>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</si>
  <si>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</si>
  <si>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</si>
  <si>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</si>
  <si>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</si>
  <si>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</si>
  <si>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</si>
  <si>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</si>
  <si>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</si>
  <si>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</si>
  <si>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</si>
  <si>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</si>
  <si>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</si>
  <si>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</si>
  <si>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</si>
  <si>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</si>
  <si>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</si>
  <si>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</si>
  <si>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</si>
  <si>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</si>
  <si>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</si>
  <si>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</si>
  <si>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</si>
  <si>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</si>
  <si>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</si>
  <si>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</si>
  <si>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</si>
  <si>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</si>
  <si>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</si>
  <si>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</si>
  <si>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</si>
  <si>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</si>
  <si>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</si>
  <si>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</si>
  <si>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</si>
  <si>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</si>
  <si>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</si>
  <si>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</si>
  <si>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</si>
  <si>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</si>
  <si>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</si>
  <si>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</si>
  <si>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</si>
  <si>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</si>
  <si>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</si>
  <si>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</si>
  <si>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</si>
  <si>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</si>
  <si>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</si>
  <si>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</si>
  <si>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</si>
  <si>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</si>
  <si>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</si>
  <si>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</si>
  <si>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</si>
  <si>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</si>
  <si>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</si>
  <si>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</si>
  <si>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</si>
  <si>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</si>
  <si>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</si>
  <si>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</si>
  <si>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</si>
  <si>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</si>
  <si>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</si>
  <si>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</si>
  <si>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</si>
  <si>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</si>
  <si>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</si>
  <si>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</si>
  <si>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</si>
  <si>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</si>
  <si>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</si>
  <si>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</si>
  <si>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</si>
  <si>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</si>
  <si>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</si>
  <si>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</si>
  <si>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</si>
  <si>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</si>
  <si>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</si>
  <si>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</si>
  <si>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</si>
  <si>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</si>
  <si>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</si>
  <si>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</si>
  <si>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</si>
  <si>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</si>
  <si>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</si>
  <si>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</si>
  <si>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</si>
  <si>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</si>
  <si>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</si>
  <si>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</si>
  <si>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</si>
  <si>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</si>
  <si>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</si>
  <si>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</si>
  <si>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</si>
  <si>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</si>
  <si>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</si>
  <si>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</si>
  <si>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</si>
  <si>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</si>
  <si>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</si>
  <si>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</si>
  <si>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</si>
  <si>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</si>
  <si>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</si>
  <si>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</si>
  <si>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</si>
  <si>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</si>
  <si>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</si>
  <si>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</si>
  <si>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</si>
  <si>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</si>
  <si>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</si>
  <si>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</si>
  <si>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</si>
  <si>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</si>
  <si>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</si>
  <si>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</si>
  <si>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</si>
  <si>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</si>
  <si>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</si>
  <si>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</si>
  <si>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</si>
  <si>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</si>
  <si>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</si>
  <si>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</si>
  <si>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</si>
  <si>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</si>
  <si>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</si>
  <si>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</si>
  <si>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</si>
  <si>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</si>
  <si>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</si>
  <si>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</si>
  <si>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</si>
  <si>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</si>
  <si>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</si>
  <si>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</si>
  <si>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</si>
  <si>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</si>
  <si>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</si>
  <si>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</si>
  <si>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</si>
  <si>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</si>
  <si>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</si>
  <si>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</si>
  <si>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</si>
  <si>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</si>
  <si>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</si>
  <si>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</si>
  <si>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</si>
  <si>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</si>
  <si>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</si>
  <si>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</si>
  <si>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</si>
  <si>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</si>
  <si>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</si>
  <si>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</si>
  <si>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</si>
  <si>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</si>
  <si>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</si>
  <si>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</si>
  <si>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</si>
  <si>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</si>
  <si>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</si>
  <si>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</si>
  <si>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</si>
  <si>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</si>
  <si>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</si>
  <si>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</si>
  <si>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</si>
  <si>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</si>
  <si>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</si>
  <si>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</si>
  <si>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</si>
  <si>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</si>
  <si>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</si>
  <si>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</si>
  <si>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</si>
  <si>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</si>
  <si>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</si>
  <si>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</si>
  <si>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</si>
  <si>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</si>
  <si>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</si>
  <si>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</si>
  <si>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</si>
  <si>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</si>
  <si>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</si>
  <si>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</si>
  <si>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</si>
  <si>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</si>
  <si>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</si>
  <si>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</si>
  <si>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</si>
  <si>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</si>
  <si>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</si>
  <si>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</si>
  <si>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</si>
  <si>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</si>
  <si>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</si>
  <si>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</si>
  <si>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</si>
  <si>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</si>
  <si>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</si>
  <si>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</si>
  <si>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</si>
  <si>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</si>
  <si>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</si>
  <si>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</si>
  <si>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</si>
  <si>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</si>
  <si>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</si>
  <si>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</si>
  <si>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</si>
  <si>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</si>
  <si>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</si>
  <si>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</si>
  <si>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</si>
  <si>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</si>
  <si>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</si>
  <si>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</si>
  <si>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</si>
  <si>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</si>
  <si>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</si>
  <si>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</si>
  <si>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</si>
  <si>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</si>
  <si>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</si>
  <si>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</si>
  <si>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</si>
  <si>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</si>
  <si>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</si>
  <si>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</si>
  <si>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</si>
  <si>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</si>
  <si>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</si>
  <si>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</si>
  <si>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</si>
  <si>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</si>
  <si>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</si>
  <si>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</si>
  <si>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</si>
  <si>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</si>
  <si>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</si>
  <si>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</si>
  <si>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</si>
  <si>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</si>
  <si>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</si>
  <si>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</si>
  <si>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</si>
  <si>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</si>
  <si>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</si>
  <si>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</si>
  <si>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</si>
  <si>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</si>
  <si>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</si>
  <si>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</si>
  <si>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</si>
  <si>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</si>
  <si>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</si>
  <si>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</si>
  <si>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</si>
  <si>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</si>
  <si>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</si>
  <si>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</si>
  <si>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</si>
  <si>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</si>
  <si>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</si>
  <si>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</si>
  <si>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</si>
  <si>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</si>
  <si>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</si>
  <si>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</si>
  <si>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</si>
  <si>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</si>
  <si>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</si>
  <si>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</si>
  <si>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</si>
  <si>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</si>
  <si>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</si>
  <si>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</si>
  <si>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</si>
  <si>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</si>
  <si>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</si>
  <si>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</si>
  <si>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</si>
  <si>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</si>
  <si>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</si>
  <si>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</si>
  <si>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</si>
  <si>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</si>
  <si>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</si>
  <si>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</si>
  <si>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</si>
  <si>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</si>
  <si>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</si>
  <si>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</si>
  <si>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</si>
  <si>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</si>
  <si>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</si>
  <si>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</si>
  <si>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</si>
  <si>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</si>
  <si>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</si>
  <si>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</si>
  <si>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</si>
  <si>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</si>
  <si>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</si>
  <si>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</si>
  <si>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</si>
  <si>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</si>
  <si>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</si>
  <si>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</si>
  <si>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</si>
  <si>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</si>
  <si>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</si>
  <si>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</si>
  <si>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</si>
  <si>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</si>
  <si>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</si>
  <si>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</si>
  <si>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</si>
  <si>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</si>
  <si>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</si>
  <si>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</si>
  <si>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</si>
  <si>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</si>
  <si>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</si>
  <si>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</si>
  <si>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</si>
  <si>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</si>
  <si>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</si>
  <si>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</si>
  <si>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</si>
  <si>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</si>
  <si>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</si>
  <si>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</si>
  <si>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</si>
  <si>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</si>
  <si>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</si>
  <si>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</si>
  <si>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</si>
  <si>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</si>
  <si>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</si>
  <si>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</si>
  <si>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</si>
  <si>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</si>
  <si>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</si>
  <si>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</si>
  <si>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</si>
  <si>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</si>
  <si>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</si>
  <si>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</si>
  <si>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</si>
  <si>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</si>
  <si>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</si>
  <si>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</si>
  <si>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</si>
  <si>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</si>
  <si>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</si>
  <si>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</si>
  <si>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</si>
  <si>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</si>
  <si>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</si>
  <si>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</si>
  <si>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</si>
  <si>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</si>
  <si>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</si>
  <si>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</si>
  <si>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</si>
  <si>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</si>
  <si>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</si>
  <si>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</si>
  <si>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</si>
  <si>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</si>
  <si>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</si>
  <si>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</si>
  <si>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</si>
  <si>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</si>
  <si>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</si>
  <si>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</si>
  <si>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</si>
  <si>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</si>
  <si>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</si>
  <si>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</si>
  <si>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</si>
  <si>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</si>
  <si>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</si>
  <si>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</si>
  <si>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</si>
  <si>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</si>
  <si>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</si>
  <si>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</si>
  <si>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</si>
  <si>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</si>
  <si>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</si>
  <si>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</si>
  <si>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</si>
  <si>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</si>
  <si>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</si>
  <si>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</si>
  <si>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</si>
  <si>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</si>
  <si>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</si>
  <si>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</si>
  <si>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</si>
  <si>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</si>
  <si>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</si>
  <si>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</si>
  <si>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</si>
  <si>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</si>
  <si>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</si>
  <si>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</si>
  <si>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</si>
  <si>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</si>
  <si>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</si>
  <si>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</si>
  <si>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</si>
  <si>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</si>
  <si>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</si>
  <si>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</si>
  <si>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</si>
  <si>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</si>
  <si>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</si>
  <si>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</si>
  <si>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</si>
  <si>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</si>
  <si>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</si>
  <si>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</si>
  <si>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</si>
  <si>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</si>
  <si>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</si>
  <si>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</si>
  <si>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</si>
  <si>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</si>
  <si>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</si>
  <si>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</si>
  <si>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</si>
  <si>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</si>
  <si>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</si>
  <si>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</si>
  <si>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</si>
  <si>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</si>
  <si>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</si>
  <si>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</si>
  <si>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</si>
  <si>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</si>
  <si>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</si>
  <si>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</si>
  <si>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</si>
  <si>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</si>
  <si>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</si>
  <si>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</si>
  <si>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</si>
  <si>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</si>
  <si>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</si>
  <si>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</si>
  <si>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</si>
  <si>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</si>
  <si>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</si>
  <si>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</si>
  <si>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</si>
  <si>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</si>
  <si>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</si>
  <si>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</si>
  <si>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</si>
  <si>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</si>
  <si>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</si>
  <si>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</si>
  <si>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</si>
  <si>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</si>
  <si>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</si>
  <si>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</si>
  <si>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</si>
  <si>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</si>
  <si>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</si>
  <si>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</si>
  <si>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</si>
  <si>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</si>
  <si>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</si>
  <si>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</si>
  <si>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</si>
  <si>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</si>
  <si>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</si>
  <si>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</si>
  <si>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</si>
  <si>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</si>
  <si>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</si>
  <si>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</si>
  <si>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</si>
  <si>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</si>
  <si>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</si>
  <si>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</si>
  <si>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</si>
  <si>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</si>
  <si>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</si>
  <si>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</si>
  <si>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</si>
  <si>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</si>
  <si>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</si>
  <si>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</si>
  <si>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</si>
  <si>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</si>
  <si>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</si>
  <si>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</si>
  <si>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</si>
  <si>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</si>
  <si>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</si>
  <si>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</si>
  <si>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</si>
  <si>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</si>
  <si>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</si>
  <si>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</si>
  <si>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</si>
  <si>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</si>
  <si>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</si>
  <si>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</si>
  <si>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</si>
  <si>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</si>
  <si>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</si>
  <si>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</si>
  <si>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</si>
  <si>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</si>
  <si>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</si>
  <si>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</si>
  <si>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</si>
  <si>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</si>
  <si>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</si>
  <si>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</si>
  <si>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</si>
  <si>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</si>
  <si>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</si>
  <si>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</si>
  <si>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</si>
  <si>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</si>
  <si>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</si>
  <si>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</si>
  <si>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</si>
  <si>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</si>
  <si>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</si>
  <si>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</si>
  <si>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</si>
  <si>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</si>
  <si>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</si>
  <si>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</si>
  <si>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</si>
  <si>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</si>
  <si>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</si>
  <si>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</si>
  <si>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</si>
  <si>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</si>
  <si>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</si>
  <si>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</si>
  <si>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</si>
  <si>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</si>
  <si>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</si>
  <si>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</si>
  <si>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</si>
  <si>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</si>
  <si>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</si>
  <si>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</si>
  <si>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</si>
  <si>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</si>
  <si>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</si>
  <si>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</si>
  <si>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</si>
  <si>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</si>
  <si>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</si>
  <si>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</si>
  <si>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</si>
  <si>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</si>
  <si>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</si>
  <si>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</si>
  <si>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</si>
  <si>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</si>
  <si>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</si>
  <si>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</si>
  <si>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</si>
  <si>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</si>
  <si>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</si>
  <si>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</si>
  <si>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</si>
  <si>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</si>
  <si>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</si>
  <si>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</si>
  <si>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</si>
  <si>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</si>
  <si>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</si>
  <si>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</si>
  <si>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</si>
  <si>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</si>
  <si>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</si>
  <si>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</si>
  <si>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</si>
  <si>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</si>
  <si>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</si>
  <si>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</si>
  <si>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</si>
  <si>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</si>
  <si>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</si>
  <si>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</si>
  <si>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</si>
  <si>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</si>
  <si>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</si>
  <si>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</si>
  <si>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</si>
  <si>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</si>
  <si>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</si>
  <si>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</si>
  <si>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</si>
  <si>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</si>
  <si>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</si>
  <si>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</si>
  <si>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</si>
  <si>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</si>
  <si>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</si>
  <si>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</si>
  <si>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</si>
  <si>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</si>
  <si>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</si>
  <si>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</si>
  <si>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</si>
  <si>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</si>
  <si>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</si>
  <si>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</si>
  <si>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</si>
  <si>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</si>
  <si>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</si>
  <si>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</si>
  <si>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</si>
  <si>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</si>
  <si>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</si>
  <si>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</si>
  <si>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</si>
  <si>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</si>
  <si>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</si>
  <si>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</si>
  <si>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</si>
  <si>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</si>
  <si>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</si>
  <si>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</si>
  <si>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</si>
  <si>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</si>
  <si>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</si>
  <si>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</si>
  <si>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</si>
  <si>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</si>
  <si>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</si>
  <si>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</si>
  <si>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</si>
  <si>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</si>
  <si>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</si>
  <si>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</si>
  <si>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</si>
  <si>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</si>
  <si>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</si>
  <si>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</si>
  <si>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</si>
  <si>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</si>
  <si>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</si>
  <si>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</si>
  <si>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</si>
  <si>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</si>
  <si>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</si>
  <si>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</si>
  <si>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</si>
  <si>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</si>
  <si>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</si>
  <si>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</si>
  <si>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</si>
  <si>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</si>
  <si>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</si>
  <si>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</si>
  <si>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</si>
  <si>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</si>
  <si>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</si>
  <si>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</si>
  <si>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</si>
  <si>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</si>
  <si>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</si>
  <si>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</si>
  <si>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</si>
  <si>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</si>
  <si>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</si>
  <si>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</si>
  <si>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</si>
  <si>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</si>
  <si>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</si>
  <si>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</si>
  <si>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</si>
  <si>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</si>
  <si>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</si>
  <si>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</si>
  <si>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</si>
  <si>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</si>
  <si>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</si>
  <si>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</si>
  <si>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</si>
  <si>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</si>
  <si>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</si>
  <si>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</si>
  <si>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</si>
  <si>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</si>
  <si>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</si>
  <si>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</si>
  <si>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</si>
  <si>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</si>
  <si>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</si>
  <si>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</si>
  <si>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</si>
  <si>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</si>
  <si>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</si>
  <si>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</si>
  <si>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</si>
  <si>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</si>
  <si>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</si>
  <si>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</si>
  <si>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</si>
  <si>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</si>
  <si>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</si>
  <si>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</si>
  <si>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</si>
  <si>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</si>
  <si>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</si>
  <si>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</si>
  <si>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</si>
  <si>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</si>
  <si>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</si>
  <si>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</si>
  <si>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</si>
  <si>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</si>
  <si>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</si>
  <si>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</si>
  <si>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</si>
  <si>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</si>
  <si>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</si>
  <si>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</si>
  <si>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</si>
  <si>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</si>
  <si>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</si>
  <si>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</si>
  <si>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</si>
  <si>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</si>
  <si>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</si>
  <si>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</si>
  <si>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</si>
  <si>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</si>
  <si>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</si>
  <si>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</si>
  <si>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</si>
  <si>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</si>
  <si>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</si>
  <si>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</si>
  <si>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</si>
  <si>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</si>
  <si>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</si>
  <si>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</si>
  <si>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</si>
  <si>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</si>
  <si>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</si>
  <si>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</si>
  <si>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</si>
  <si>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</si>
  <si>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</si>
  <si>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</si>
  <si>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</si>
  <si>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</si>
  <si>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</si>
  <si>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</si>
  <si>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</si>
  <si>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</si>
  <si>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</si>
  <si>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</si>
  <si>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</si>
  <si>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</si>
  <si>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</si>
  <si>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</si>
  <si>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</si>
  <si>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</si>
  <si>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</si>
  <si>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</si>
  <si>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</si>
  <si>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</si>
  <si>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</si>
  <si>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</si>
  <si>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</si>
  <si>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</si>
  <si>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</si>
  <si>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</si>
  <si>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</si>
  <si>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</si>
  <si>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</si>
  <si>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</si>
  <si>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</si>
  <si>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</si>
  <si>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</si>
  <si>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</si>
  <si>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</si>
  <si>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</si>
  <si>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</si>
  <si>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</si>
  <si>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</si>
  <si>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</si>
  <si>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</si>
  <si>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</si>
  <si>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</si>
  <si>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</si>
  <si>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</si>
  <si>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</si>
  <si>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</si>
  <si>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</si>
  <si>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</si>
  <si>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</si>
  <si>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</si>
  <si>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</si>
  <si>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</si>
  <si>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</si>
  <si>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</si>
  <si>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</si>
  <si>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</si>
  <si>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</si>
  <si>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</si>
  <si>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</si>
  <si>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</si>
  <si>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</si>
  <si>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</si>
  <si>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</si>
  <si>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</si>
  <si>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</si>
  <si>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</si>
  <si>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</si>
  <si>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</si>
  <si>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</si>
  <si>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</si>
  <si>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</si>
  <si>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</si>
  <si>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Value For Display</t>
  </si>
  <si>
    <t>Count of TX ID</t>
  </si>
  <si>
    <t>Sum of Quantity</t>
  </si>
  <si>
    <t>Sum of Amount</t>
  </si>
  <si>
    <t>Average of Rating C</t>
  </si>
  <si>
    <t>Average of Days to Deliver</t>
  </si>
  <si>
    <t>Orders</t>
  </si>
  <si>
    <t>Qty</t>
  </si>
  <si>
    <t>Avg Rating</t>
  </si>
  <si>
    <t xml:space="preserve">Avg Days </t>
  </si>
  <si>
    <t>Grand Total</t>
  </si>
  <si>
    <t>Female</t>
  </si>
  <si>
    <t>Male</t>
  </si>
  <si>
    <t>Other</t>
  </si>
  <si>
    <t>Unknown</t>
  </si>
  <si>
    <t>8 to 15</t>
  </si>
  <si>
    <t>15 +</t>
  </si>
  <si>
    <t>Top 10 Country-</t>
  </si>
  <si>
    <t>country</t>
  </si>
  <si>
    <t>california</t>
  </si>
  <si>
    <t>California Total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</si>
  <si>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</si>
  <si>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</si>
  <si>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</si>
  <si>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</si>
  <si>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</si>
  <si>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</si>
  <si>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</si>
  <si>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</si>
  <si>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</si>
  <si>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</si>
  <si>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</si>
  <si>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</si>
  <si>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</si>
  <si>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</si>
  <si>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</si>
  <si>
    <t>🛒 Orders</t>
  </si>
  <si>
    <t>📦 Quantity</t>
  </si>
  <si>
    <t>💰 Amount</t>
  </si>
  <si>
    <t>🌟 Avg. Rating</t>
  </si>
  <si>
    <t>📅 Avg. Days To Deliver</t>
  </si>
  <si>
    <t>Resouces:</t>
  </si>
  <si>
    <t>Logo</t>
  </si>
  <si>
    <t>Excel Dashboard Tutorial Video</t>
  </si>
  <si>
    <t>Color Scheme</t>
  </si>
  <si>
    <t>Adv. Excel Dashboards Course by Chandoo</t>
  </si>
  <si>
    <t>#9FBFAD</t>
  </si>
  <si>
    <t>Accent 1</t>
  </si>
  <si>
    <t>You will get the full workbook in the course!</t>
  </si>
  <si>
    <t>#748C76</t>
  </si>
  <si>
    <t>Accent 2</t>
  </si>
  <si>
    <t>#505947</t>
  </si>
  <si>
    <t>Accent 3</t>
  </si>
  <si>
    <t>#BF7F5A</t>
  </si>
  <si>
    <t>Accent 4</t>
  </si>
  <si>
    <t>#BF3939</t>
  </si>
  <si>
    <t>Accent 5</t>
  </si>
  <si>
    <t>#4887E6</t>
  </si>
  <si>
    <t>Accent 6</t>
  </si>
  <si>
    <t>Emojis</t>
  </si>
  <si>
    <t>🛒</t>
  </si>
  <si>
    <t>👕</t>
  </si>
  <si>
    <t>💰</t>
  </si>
  <si>
    <t>⭐</t>
  </si>
  <si>
    <t>Rating</t>
  </si>
  <si>
    <t>📅</t>
  </si>
  <si>
    <t>Days to deliver</t>
  </si>
  <si>
    <t>Format Codes</t>
  </si>
  <si>
    <t>#,##</t>
  </si>
  <si>
    <t>value with thousand's seperator</t>
  </si>
  <si>
    <t>$#,##,.0k</t>
  </si>
  <si>
    <t>Amount in thousands with one decimal</t>
  </si>
  <si>
    <t>0.0</t>
  </si>
  <si>
    <t>Other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</si>
</sst>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&quot;$&quot;#,##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Bookman Old Style"/>
    </font>
    <font>
      <sz val="11"/>
      <color rgb="FFCFCFCF"/>
      <name val="Segoe UI"/>
    </font>
    <font>
      <b/>
      <sz val="14"/>
      <color rgb="FFFFFFFF"/>
      <name val="Aptos"/>
    </font>
    <font>
      <sz val="11"/>
      <color rgb="FFCFCFCF"/>
      <name val="Century Gothic"/>
    </font>
    <font>
      <sz val="9"/>
      <color rgb="FFCFCFCF"/>
      <name val="Century Gothic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CE8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quotePrefix="1"/>
    <xf numFmtId="0" fontId="3" fillId="0" borderId="0" xfId="1"/>
    <xf numFmtId="0" fontId="0" fillId="0" borderId="0" xfId="0" applyNumberFormat="1"/>
    <xf numFmtId="0" fontId="1" fillId="0" borderId="0" xfId="0" applyFont="1"/>
    <xf numFmtId="164" fontId="0" fillId="0" borderId="0" xfId="0" applyNumberFormat="1" applyFont="1"/>
    <xf numFmtId="0" fontId="0" fillId="8" borderId="0" xfId="0" applyFill="1"/>
    <xf numFmtId="0" fontId="5" fillId="8" borderId="0" xfId="0" applyFont="1" applyFill="1"/>
    <xf numFmtId="0" fontId="7" fillId="8" borderId="0" xfId="0" applyFont="1" applyFill="1"/>
    <xf numFmtId="0" fontId="8" fillId="8" borderId="0" xfId="0" applyFont="1" applyFill="1"/>
    <xf numFmtId="0" fontId="0" fillId="0" borderId="0" xfId="0" pivotButton="1"/>
    <xf numFmtId="165" fontId="0" fillId="0" borderId="0" xfId="0" applyNumberFormat="1"/>
    <xf numFmtId="10" fontId="0" fillId="0" borderId="0" xfId="0" applyNumberFormat="1"/>
    <xf numFmtId="0" fontId="0" fillId="9" borderId="1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4" xfId="0" applyFill="1" applyBorder="1"/>
    <xf numFmtId="10" fontId="0" fillId="9" borderId="5" xfId="0" applyNumberFormat="1" applyFill="1" applyBorder="1"/>
    <xf numFmtId="10" fontId="0" fillId="9" borderId="6" xfId="0" applyNumberFormat="1" applyFill="1" applyBorder="1"/>
    <xf numFmtId="0" fontId="0" fillId="9" borderId="7" xfId="0" applyFill="1" applyBorder="1"/>
    <xf numFmtId="10" fontId="0" fillId="9" borderId="8" xfId="0" applyNumberFormat="1" applyFill="1" applyBorder="1"/>
    <xf numFmtId="10" fontId="0" fillId="9" borderId="9" xfId="0" applyNumberFormat="1" applyFill="1" applyBorder="1"/>
    <xf numFmtId="1" fontId="0" fillId="0" borderId="0" xfId="0" applyNumberFormat="1"/>
    <xf numFmtId="0" fontId="0" fillId="10" borderId="0" xfId="0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  <dxf>
      <numFmt numFmtId="165" formatCode="&quot;$&quot;#,##0"/>
    </dxf>
    <dxf>
      <numFmt numFmtId="165" formatCode="&quot;$&quot;#,##0"/>
    </dxf>
  </dxfs>
  <tableStyles count="0" defaultTableStyle="TableStyleMedium2" defaultPivotStyle="PivotStyleLight16"/>
  <colors>
    <mruColors>
      <color rgb="FF222222"/>
      <color rgb="FFD4AF37"/>
      <color rgb="FF1A1A1A"/>
      <color rgb="FFC9D8CC"/>
      <color rgb="FFECEFF1"/>
      <color rgb="FFE8ECE8"/>
      <color rgb="FF222B27"/>
      <color rgb="FF242424"/>
      <color rgb="FF1A1D1A"/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Brand Sales Dashboard.xlsx]Pivot!PivotTable2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Last 13 weeks Trends - Qty &amp;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Pivot!$B$7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Pivot!$A$8:$A$21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Pivot!$B$8:$B$21</c:f>
              <c:numCache>
                <c:formatCode>General</c:formatCode>
                <c:ptCount val="13"/>
                <c:pt idx="0">
                  <c:v>546</c:v>
                </c:pt>
                <c:pt idx="1">
                  <c:v>905</c:v>
                </c:pt>
                <c:pt idx="2">
                  <c:v>796</c:v>
                </c:pt>
                <c:pt idx="3">
                  <c:v>913</c:v>
                </c:pt>
                <c:pt idx="4">
                  <c:v>844</c:v>
                </c:pt>
                <c:pt idx="5">
                  <c:v>1202</c:v>
                </c:pt>
                <c:pt idx="6">
                  <c:v>935</c:v>
                </c:pt>
                <c:pt idx="7">
                  <c:v>1128</c:v>
                </c:pt>
                <c:pt idx="8">
                  <c:v>1007</c:v>
                </c:pt>
                <c:pt idx="9">
                  <c:v>1128</c:v>
                </c:pt>
                <c:pt idx="10">
                  <c:v>861</c:v>
                </c:pt>
                <c:pt idx="11">
                  <c:v>944</c:v>
                </c:pt>
                <c:pt idx="12">
                  <c:v>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B-4B62-BCAA-FE3577F91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0217991"/>
        <c:axId val="530220039"/>
      </c:barChart>
      <c:lineChart>
        <c:grouping val="standard"/>
        <c:varyColors val="0"/>
        <c:ser>
          <c:idx val="1"/>
          <c:order val="1"/>
          <c:tx>
            <c:strRef>
              <c:f>Pivot!$C$7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Pivot!$A$8:$A$21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Pivot!$C$8:$C$21</c:f>
              <c:numCache>
                <c:formatCode>"$"#,##0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B-4B62-BCAA-FE3577F91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249223"/>
        <c:axId val="530235399"/>
      </c:lineChart>
      <c:catAx>
        <c:axId val="530217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220039"/>
        <c:crosses val="autoZero"/>
        <c:auto val="1"/>
        <c:lblAlgn val="ctr"/>
        <c:lblOffset val="100"/>
        <c:noMultiLvlLbl val="0"/>
      </c:catAx>
      <c:valAx>
        <c:axId val="5302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217991"/>
        <c:crosses val="autoZero"/>
        <c:crossBetween val="between"/>
      </c:valAx>
      <c:valAx>
        <c:axId val="530235399"/>
        <c:scaling>
          <c:orientation val="minMax"/>
        </c:scaling>
        <c:delete val="0"/>
        <c:axPos val="r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249223"/>
        <c:crosses val="max"/>
        <c:crossBetween val="between"/>
      </c:valAx>
      <c:catAx>
        <c:axId val="5302492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02353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How many they Buy?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Pivot!$E$34</c:f>
              <c:strCache>
                <c:ptCount val="1"/>
                <c:pt idx="0">
                  <c:v>Count of TX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Pivot!$D$35:$D$43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 to 15</c:v>
                </c:pt>
                <c:pt idx="8">
                  <c:v>15 +</c:v>
                </c:pt>
              </c:strCache>
            </c:strRef>
          </c:cat>
          <c:val>
            <c:numRef>
              <c:f>Pivot!$E$35:$E$43</c:f>
              <c:numCache>
                <c:formatCode>General</c:formatCode>
                <c:ptCount val="9"/>
                <c:pt idx="0">
                  <c:v>397</c:v>
                </c:pt>
                <c:pt idx="1">
                  <c:v>540</c:v>
                </c:pt>
                <c:pt idx="2">
                  <c:v>375</c:v>
                </c:pt>
                <c:pt idx="3">
                  <c:v>246</c:v>
                </c:pt>
                <c:pt idx="4">
                  <c:v>195</c:v>
                </c:pt>
                <c:pt idx="5">
                  <c:v>122</c:v>
                </c:pt>
                <c:pt idx="6">
                  <c:v>114</c:v>
                </c:pt>
                <c:pt idx="7">
                  <c:v>303</c:v>
                </c:pt>
                <c:pt idx="8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066F-48C4-9FB5-A738889015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3200263"/>
        <c:axId val="326706184"/>
      </c:barChart>
      <c:catAx>
        <c:axId val="1543200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706184"/>
        <c:crosses val="autoZero"/>
        <c:auto val="1"/>
        <c:lblAlgn val="ctr"/>
        <c:lblOffset val="100"/>
        <c:noMultiLvlLbl val="0"/>
      </c:catAx>
      <c:valAx>
        <c:axId val="32670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200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Brand Sales Dashboard.xlsx]Pivot!PivotTable5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Popular Products -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Pivot!$B$86:$B$87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Pivot!$A$88:$A$108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Pajama Sets</c:v>
                </c:pt>
                <c:pt idx="14">
                  <c:v>Maxi Dresses</c:v>
                </c:pt>
                <c:pt idx="15">
                  <c:v>Workout Tops</c:v>
                </c:pt>
                <c:pt idx="16">
                  <c:v>Tote Bags</c:v>
                </c:pt>
                <c:pt idx="17">
                  <c:v>Sunglasses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Pivot!$B$88:$B$108</c:f>
              <c:numCache>
                <c:formatCode>General</c:formatCode>
                <c:ptCount val="20"/>
                <c:pt idx="0">
                  <c:v>744</c:v>
                </c:pt>
                <c:pt idx="1">
                  <c:v>716</c:v>
                </c:pt>
                <c:pt idx="2">
                  <c:v>627</c:v>
                </c:pt>
                <c:pt idx="3">
                  <c:v>568</c:v>
                </c:pt>
                <c:pt idx="4">
                  <c:v>482</c:v>
                </c:pt>
                <c:pt idx="5">
                  <c:v>428</c:v>
                </c:pt>
                <c:pt idx="6">
                  <c:v>445</c:v>
                </c:pt>
                <c:pt idx="7">
                  <c:v>431</c:v>
                </c:pt>
                <c:pt idx="8">
                  <c:v>264</c:v>
                </c:pt>
                <c:pt idx="9">
                  <c:v>296</c:v>
                </c:pt>
                <c:pt idx="10">
                  <c:v>153</c:v>
                </c:pt>
                <c:pt idx="11">
                  <c:v>189</c:v>
                </c:pt>
                <c:pt idx="12">
                  <c:v>234</c:v>
                </c:pt>
                <c:pt idx="13">
                  <c:v>127</c:v>
                </c:pt>
                <c:pt idx="14">
                  <c:v>179</c:v>
                </c:pt>
                <c:pt idx="15">
                  <c:v>146</c:v>
                </c:pt>
                <c:pt idx="16">
                  <c:v>75</c:v>
                </c:pt>
                <c:pt idx="17">
                  <c:v>99</c:v>
                </c:pt>
                <c:pt idx="18">
                  <c:v>43</c:v>
                </c:pt>
                <c:pt idx="1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3-4F04-8F46-84BD699DBB71}"/>
            </c:ext>
          </c:extLst>
        </c:ser>
        <c:ser>
          <c:idx val="1"/>
          <c:order val="1"/>
          <c:tx>
            <c:strRef>
              <c:f>Pivot!$C$86:$C$87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Pivot!$A$88:$A$108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Pajama Sets</c:v>
                </c:pt>
                <c:pt idx="14">
                  <c:v>Maxi Dresses</c:v>
                </c:pt>
                <c:pt idx="15">
                  <c:v>Workout Tops</c:v>
                </c:pt>
                <c:pt idx="16">
                  <c:v>Tote Bags</c:v>
                </c:pt>
                <c:pt idx="17">
                  <c:v>Sunglasses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Pivot!$C$88:$C$108</c:f>
              <c:numCache>
                <c:formatCode>General</c:formatCode>
                <c:ptCount val="20"/>
                <c:pt idx="0">
                  <c:v>713</c:v>
                </c:pt>
                <c:pt idx="1">
                  <c:v>598</c:v>
                </c:pt>
                <c:pt idx="2">
                  <c:v>393</c:v>
                </c:pt>
                <c:pt idx="3">
                  <c:v>306</c:v>
                </c:pt>
                <c:pt idx="4">
                  <c:v>295</c:v>
                </c:pt>
                <c:pt idx="5">
                  <c:v>293</c:v>
                </c:pt>
                <c:pt idx="6">
                  <c:v>202</c:v>
                </c:pt>
                <c:pt idx="7">
                  <c:v>187</c:v>
                </c:pt>
                <c:pt idx="8">
                  <c:v>318</c:v>
                </c:pt>
                <c:pt idx="9">
                  <c:v>275</c:v>
                </c:pt>
                <c:pt idx="10">
                  <c:v>246</c:v>
                </c:pt>
                <c:pt idx="11">
                  <c:v>168</c:v>
                </c:pt>
                <c:pt idx="12">
                  <c:v>93</c:v>
                </c:pt>
                <c:pt idx="13">
                  <c:v>118</c:v>
                </c:pt>
                <c:pt idx="14">
                  <c:v>76</c:v>
                </c:pt>
                <c:pt idx="15">
                  <c:v>94</c:v>
                </c:pt>
                <c:pt idx="16">
                  <c:v>103</c:v>
                </c:pt>
                <c:pt idx="17">
                  <c:v>69</c:v>
                </c:pt>
                <c:pt idx="18">
                  <c:v>90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A3-4F04-8F46-84BD699DBB71}"/>
            </c:ext>
          </c:extLst>
        </c:ser>
        <c:ser>
          <c:idx val="2"/>
          <c:order val="2"/>
          <c:tx>
            <c:strRef>
              <c:f>Pivot!$D$86:$D$87</c:f>
              <c:strCache>
                <c:ptCount val="1"/>
                <c:pt idx="0">
                  <c:v>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Pivot!$A$88:$A$108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Pajama Sets</c:v>
                </c:pt>
                <c:pt idx="14">
                  <c:v>Maxi Dresses</c:v>
                </c:pt>
                <c:pt idx="15">
                  <c:v>Workout Tops</c:v>
                </c:pt>
                <c:pt idx="16">
                  <c:v>Tote Bags</c:v>
                </c:pt>
                <c:pt idx="17">
                  <c:v>Sunglasses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Pivot!$D$88:$D$108</c:f>
              <c:numCache>
                <c:formatCode>General</c:formatCode>
                <c:ptCount val="20"/>
                <c:pt idx="0">
                  <c:v>90</c:v>
                </c:pt>
                <c:pt idx="1">
                  <c:v>18</c:v>
                </c:pt>
                <c:pt idx="2">
                  <c:v>29</c:v>
                </c:pt>
                <c:pt idx="3">
                  <c:v>22</c:v>
                </c:pt>
                <c:pt idx="4">
                  <c:v>8</c:v>
                </c:pt>
                <c:pt idx="6">
                  <c:v>14</c:v>
                </c:pt>
                <c:pt idx="7">
                  <c:v>14</c:v>
                </c:pt>
                <c:pt idx="8">
                  <c:v>15</c:v>
                </c:pt>
                <c:pt idx="9">
                  <c:v>9</c:v>
                </c:pt>
                <c:pt idx="10">
                  <c:v>30</c:v>
                </c:pt>
                <c:pt idx="11">
                  <c:v>10</c:v>
                </c:pt>
                <c:pt idx="12">
                  <c:v>19</c:v>
                </c:pt>
                <c:pt idx="13">
                  <c:v>13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8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A3-4F04-8F46-84BD699DB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8623752"/>
        <c:axId val="1398625800"/>
      </c:barChart>
      <c:catAx>
        <c:axId val="13986237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625800"/>
        <c:crosses val="autoZero"/>
        <c:auto val="1"/>
        <c:lblAlgn val="ctr"/>
        <c:lblOffset val="100"/>
        <c:noMultiLvlLbl val="0"/>
      </c:catAx>
      <c:valAx>
        <c:axId val="1398625800"/>
        <c:scaling>
          <c:orientation val="minMax"/>
          <c:max val="20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623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626068018093486"/>
          <c:y val="0.34862569262175563"/>
          <c:w val="0.34954407294832829"/>
          <c:h val="0.1398002333041703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Brand Sales Dashboard.xlsx]Pivot!PivotTable6</c:name>
    <c:fmtId val="3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Pivot!$L$86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18-4CF2-B4A1-8B43007974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18-4CF2-B4A1-8B43007974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18-4CF2-B4A1-8B43007974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18-4CF2-B4A1-8B43007974CF}"/>
              </c:ext>
            </c:extLst>
          </c:dPt>
          <c:cat>
            <c:strRef>
              <c:f>Pivot!$K$87:$K$91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Pivot!$L$87:$L$91</c:f>
              <c:numCache>
                <c:formatCode>General</c:formatCode>
                <c:ptCount val="4"/>
                <c:pt idx="0">
                  <c:v>6272</c:v>
                </c:pt>
                <c:pt idx="1">
                  <c:v>4672</c:v>
                </c:pt>
                <c:pt idx="2">
                  <c:v>317</c:v>
                </c:pt>
                <c:pt idx="3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18-4CF2-B4A1-8B4300797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Top 10 Country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Pivot!$L$112</c:f>
              <c:strCache>
                <c:ptCount val="1"/>
                <c:pt idx="0">
                  <c:v>Sum of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53-446A-83EB-41A6F29EA1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53-446A-83EB-41A6F29EA1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53-446A-83EB-41A6F29EA1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53-446A-83EB-41A6F29EA1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853-446A-83EB-41A6F29EA1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853-446A-83EB-41A6F29EA1C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853-446A-83EB-41A6F29EA1C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853-446A-83EB-41A6F29EA1C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853-446A-83EB-41A6F29EA1C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853-446A-83EB-41A6F29EA1C2}"/>
              </c:ext>
            </c:extLst>
          </c:dPt>
          <c:cat>
            <c:strRef>
              <c:f>Pivot!$K$113:$K$122</c:f>
              <c:strCache>
                <c:ptCount val="10"/>
                <c:pt idx="0">
                  <c:v>Los Angeles County</c:v>
                </c:pt>
                <c:pt idx="1">
                  <c:v>San Diego County</c:v>
                </c:pt>
                <c:pt idx="2">
                  <c:v>Sacramento County</c:v>
                </c:pt>
                <c:pt idx="3">
                  <c:v>Santa Clara County</c:v>
                </c:pt>
                <c:pt idx="4">
                  <c:v>Alameda County</c:v>
                </c:pt>
                <c:pt idx="5">
                  <c:v>San Francisco</c:v>
                </c:pt>
                <c:pt idx="6">
                  <c:v>San Bernardino County</c:v>
                </c:pt>
                <c:pt idx="7">
                  <c:v>Sonoma County</c:v>
                </c:pt>
                <c:pt idx="8">
                  <c:v>San Mateo County</c:v>
                </c:pt>
                <c:pt idx="9">
                  <c:v>Contra Costa County</c:v>
                </c:pt>
              </c:strCache>
            </c:strRef>
          </c:cat>
          <c:val>
            <c:numRef>
              <c:f>Pivot!$L$113:$L$122</c:f>
              <c:numCache>
                <c:formatCode>General</c:formatCode>
                <c:ptCount val="10"/>
                <c:pt idx="0">
                  <c:v>215551.19999999981</c:v>
                </c:pt>
                <c:pt idx="1">
                  <c:v>98367.099999999977</c:v>
                </c:pt>
                <c:pt idx="2">
                  <c:v>37784.900000000016</c:v>
                </c:pt>
                <c:pt idx="3">
                  <c:v>37449.000000000007</c:v>
                </c:pt>
                <c:pt idx="4">
                  <c:v>31884.999999999996</c:v>
                </c:pt>
                <c:pt idx="5">
                  <c:v>21911.9</c:v>
                </c:pt>
                <c:pt idx="6">
                  <c:v>20988.9</c:v>
                </c:pt>
                <c:pt idx="7">
                  <c:v>20939.600000000002</c:v>
                </c:pt>
                <c:pt idx="8">
                  <c:v>16172.000000000005</c:v>
                </c:pt>
                <c:pt idx="9">
                  <c:v>16168.7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853-446A-83EB-41A6F29EA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Brand Sales Dashboard.xlsx]Pivot!PivotTable8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Days to ship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Pivot!$A$177:$A$192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Pivot!$B$177:$B$192</c:f>
              <c:numCache>
                <c:formatCode>General</c:formatCode>
                <c:ptCount val="15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6-4639-A695-CA0E46DC7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-27"/>
        <c:axId val="863266824"/>
        <c:axId val="959266824"/>
      </c:barChart>
      <c:catAx>
        <c:axId val="86326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266824"/>
        <c:crosses val="autoZero"/>
        <c:auto val="1"/>
        <c:lblAlgn val="ctr"/>
        <c:lblOffset val="100"/>
        <c:noMultiLvlLbl val="0"/>
      </c:catAx>
      <c:valAx>
        <c:axId val="95926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266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chandoo.org/wp/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chandoo.org/wp/excel-school-progra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28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683CB8B-3365-845F-F492-404F8487D03C}"/>
            </a:ext>
            <a:ext uri="{147F2762-F138-4A5C-976F-8EAC2B608ADB}">
              <a16:predDERef xmlns:a16="http://schemas.microsoft.com/office/drawing/2014/main" pred="{46E40EAC-D019-CE2B-01E2-EC0A7137278E}"/>
            </a:ext>
          </a:extLst>
        </xdr:cNvPr>
        <xdr:cNvSpPr/>
      </xdr:nvSpPr>
      <xdr:spPr>
        <a:xfrm>
          <a:off x="0" y="0"/>
          <a:ext cx="219075" cy="5248275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161925</xdr:colOff>
      <xdr:row>0</xdr:row>
      <xdr:rowOff>171450</xdr:rowOff>
    </xdr:from>
    <xdr:to>
      <xdr:col>8</xdr:col>
      <xdr:colOff>619125</xdr:colOff>
      <xdr:row>10</xdr:row>
      <xdr:rowOff>19050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4E68805-3AE9-4BCB-AFA8-2378048DBCCF}"/>
            </a:ext>
            <a:ext uri="{147F2762-F138-4A5C-976F-8EAC2B608ADB}">
              <a16:predDERef xmlns:a16="http://schemas.microsoft.com/office/drawing/2014/main" pred="{5683CB8B-3365-845F-F492-404F8487D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314325</xdr:colOff>
      <xdr:row>0</xdr:row>
      <xdr:rowOff>161925</xdr:rowOff>
    </xdr:from>
    <xdr:to>
      <xdr:col>21</xdr:col>
      <xdr:colOff>342900</xdr:colOff>
      <xdr:row>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D8CBC0-5FA6-457F-A71B-3CF283777EF9}"/>
            </a:ext>
            <a:ext uri="{147F2762-F138-4A5C-976F-8EAC2B608ADB}">
              <a16:predDERef xmlns:a16="http://schemas.microsoft.com/office/drawing/2014/main" pred="{14E68805-3AE9-4BCB-AFA8-2378048DB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152400</xdr:colOff>
      <xdr:row>11</xdr:row>
      <xdr:rowOff>0</xdr:rowOff>
    </xdr:from>
    <xdr:to>
      <xdr:col>8</xdr:col>
      <xdr:colOff>628650</xdr:colOff>
      <xdr:row>25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9431E9-060C-4D0E-8533-834C88EF1691}"/>
            </a:ext>
            <a:ext uri="{147F2762-F138-4A5C-976F-8EAC2B608ADB}">
              <a16:predDERef xmlns:a16="http://schemas.microsoft.com/office/drawing/2014/main" pred="{36D8CBC0-5FA6-457F-A71B-3CF283777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18</xdr:row>
      <xdr:rowOff>9525</xdr:rowOff>
    </xdr:from>
    <xdr:to>
      <xdr:col>7</xdr:col>
      <xdr:colOff>0</xdr:colOff>
      <xdr:row>25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49CD05-15E8-4294-A6DC-5C475B30222F}"/>
            </a:ext>
            <a:ext uri="{147F2762-F138-4A5C-976F-8EAC2B608ADB}">
              <a16:predDERef xmlns:a16="http://schemas.microsoft.com/office/drawing/2014/main" pred="{8C9431E9-060C-4D0E-8533-834C88EF1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942975</xdr:colOff>
      <xdr:row>11</xdr:row>
      <xdr:rowOff>0</xdr:rowOff>
    </xdr:from>
    <xdr:to>
      <xdr:col>16</xdr:col>
      <xdr:colOff>57150</xdr:colOff>
      <xdr:row>25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C7B33F-FE90-4D13-B43B-994238734CB9}"/>
            </a:ext>
            <a:ext uri="{147F2762-F138-4A5C-976F-8EAC2B608ADB}">
              <a16:predDERef xmlns:a16="http://schemas.microsoft.com/office/drawing/2014/main" pred="{9449CD05-15E8-4294-A6DC-5C475B302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85725</xdr:colOff>
      <xdr:row>11</xdr:row>
      <xdr:rowOff>9525</xdr:rowOff>
    </xdr:from>
    <xdr:to>
      <xdr:col>21</xdr:col>
      <xdr:colOff>19050</xdr:colOff>
      <xdr:row>16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E2A747-4B38-419E-A7F5-463539817F29}"/>
            </a:ext>
            <a:ext uri="{147F2762-F138-4A5C-976F-8EAC2B608ADB}">
              <a16:predDERef xmlns:a16="http://schemas.microsoft.com/office/drawing/2014/main" pred="{ADC7B33F-FE90-4D13-B43B-994238734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352425</xdr:colOff>
      <xdr:row>17</xdr:row>
      <xdr:rowOff>76200</xdr:rowOff>
    </xdr:from>
    <xdr:to>
      <xdr:col>21</xdr:col>
      <xdr:colOff>361950</xdr:colOff>
      <xdr:row>25</xdr:row>
      <xdr:rowOff>57150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ED49A20-FDB1-AB69-0A6D-B970B03FB3F4}"/>
            </a:ext>
            <a:ext uri="{147F2762-F138-4A5C-976F-8EAC2B608ADB}">
              <a16:predDERef xmlns:a16="http://schemas.microsoft.com/office/drawing/2014/main" pred="{62E2A747-4B38-419E-A7F5-463539817F29}"/>
            </a:ext>
          </a:extLst>
        </xdr:cNvPr>
        <xdr:cNvSpPr/>
      </xdr:nvSpPr>
      <xdr:spPr>
        <a:xfrm>
          <a:off x="8782050" y="3248025"/>
          <a:ext cx="2667000" cy="1485900"/>
        </a:xfrm>
        <a:prstGeom prst="rect">
          <a:avLst/>
        </a:prstGeom>
        <a:solidFill>
          <a:srgbClr val="C9D8CC"/>
        </a:solidFill>
        <a:ln w="1270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b="1">
              <a:solidFill>
                <a:srgbClr val="1A1A1A"/>
              </a:solidFill>
              <a:latin typeface="+mn-lt"/>
              <a:ea typeface="+mn-lt"/>
              <a:cs typeface="+mn-lt"/>
            </a:rPr>
            <a:t>KEY INSIGHTS - </a:t>
          </a:r>
        </a:p>
        <a:p>
          <a:pPr marL="0" indent="0" algn="l"/>
          <a:r>
            <a:rPr lang="en-US" sz="1000">
              <a:solidFill>
                <a:srgbClr val="1A1A1A"/>
              </a:solidFill>
              <a:latin typeface="+mn-lt"/>
              <a:ea typeface="+mn-lt"/>
              <a:cs typeface="+mn-lt"/>
            </a:rPr>
            <a:t>.</a:t>
          </a:r>
          <a:r>
            <a:rPr lang="en-US" sz="1000" i="1">
              <a:solidFill>
                <a:srgbClr val="1A1A1A"/>
              </a:solidFill>
              <a:latin typeface="+mn-lt"/>
              <a:ea typeface="+mn-lt"/>
              <a:cs typeface="+mn-lt"/>
            </a:rPr>
            <a:t> Revenue is concentrated in top countries</a:t>
          </a:r>
        </a:p>
        <a:p>
          <a:pPr marL="0" indent="0" algn="l"/>
          <a:r>
            <a:rPr lang="en-US" sz="1000" i="1">
              <a:solidFill>
                <a:srgbClr val="1A1A1A"/>
              </a:solidFill>
              <a:latin typeface="+mn-lt"/>
              <a:ea typeface="+mn-lt"/>
              <a:cs typeface="+mn-lt"/>
            </a:rPr>
            <a:t>. fast Delivery (2 to 3 days) is competitive advantage</a:t>
          </a:r>
        </a:p>
        <a:p>
          <a:pPr marL="0" indent="0" algn="l"/>
          <a:r>
            <a:rPr lang="en-US" sz="1000" i="1">
              <a:solidFill>
                <a:srgbClr val="1A1A1A"/>
              </a:solidFill>
              <a:latin typeface="+mn-lt"/>
              <a:ea typeface="+mn-lt"/>
              <a:cs typeface="+mn-lt"/>
            </a:rPr>
            <a:t>. App and Web are the strong sales mediums</a:t>
          </a:r>
        </a:p>
        <a:p>
          <a:pPr marL="0" indent="0" algn="l"/>
          <a:r>
            <a:rPr lang="en-US" sz="1000" i="1">
              <a:solidFill>
                <a:srgbClr val="1A1A1A"/>
              </a:solidFill>
              <a:latin typeface="+mn-lt"/>
              <a:ea typeface="+mn-lt"/>
              <a:cs typeface="+mn-lt"/>
            </a:rPr>
            <a:t>. Sales depends on few high performing products(T-shirts,Sneakers,Bikinis)</a:t>
          </a:r>
        </a:p>
        <a:p>
          <a:pPr marL="0" indent="0" algn="l"/>
          <a:r>
            <a:rPr lang="en-US" sz="1000" i="1">
              <a:solidFill>
                <a:srgbClr val="1A1A1A"/>
              </a:solidFill>
              <a:latin typeface="+mn-lt"/>
              <a:ea typeface="+mn-lt"/>
              <a:cs typeface="+mn-lt"/>
            </a:rPr>
            <a:t>. Customer satisfaction is very healthy(4.0 Rating)</a:t>
          </a:r>
        </a:p>
      </xdr:txBody>
    </xdr:sp>
    <xdr:clientData/>
  </xdr:twoCellAnchor>
  <xdr:twoCellAnchor editAs="oneCell">
    <xdr:from>
      <xdr:col>0</xdr:col>
      <xdr:colOff>114300</xdr:colOff>
      <xdr:row>0</xdr:row>
      <xdr:rowOff>57150</xdr:rowOff>
    </xdr:from>
    <xdr:to>
      <xdr:col>2</xdr:col>
      <xdr:colOff>57150</xdr:colOff>
      <xdr:row>2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A26ADB9-713E-495F-9A41-504EEE9242D9}"/>
            </a:ext>
            <a:ext uri="{147F2762-F138-4A5C-976F-8EAC2B608ADB}">
              <a16:predDERef xmlns:a16="http://schemas.microsoft.com/office/drawing/2014/main" pred="{3ED49A20-FDB1-AB69-0A6D-B970B03F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4300" y="57150"/>
          <a:ext cx="1476375" cy="419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4</xdr:col>
      <xdr:colOff>324130</xdr:colOff>
      <xdr:row>3</xdr:row>
      <xdr:rowOff>76322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BF637-9F8C-404F-8B9A-8AB22E64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9200" y="182880"/>
          <a:ext cx="1543330" cy="4420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304800</xdr:colOff>
      <xdr:row>29</xdr:row>
      <xdr:rowOff>67829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2BB025-83F9-4955-BC88-7D277D799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937760"/>
          <a:ext cx="1524000" cy="433589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7</xdr:row>
      <xdr:rowOff>1</xdr:rowOff>
    </xdr:from>
    <xdr:to>
      <xdr:col>8</xdr:col>
      <xdr:colOff>1</xdr:colOff>
      <xdr:row>21</xdr:row>
      <xdr:rowOff>1</xdr:rowOff>
    </xdr:to>
    <xdr:pic>
      <xdr:nvPicPr>
        <xdr:cNvPr id="5" name="Pictur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527581-9CC7-32E2-D643-E625DB568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1" y="1280161"/>
          <a:ext cx="2560320" cy="256032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9.432046527778" createdVersion="8" refreshedVersion="8" minRefreshableVersion="3" recordCount="2400" xr:uid="{51AB76C7-2F1C-4697-A543-760954F61CA6}">
  <cacheSource type="worksheet">
    <worksheetSource name="orders"/>
  </cacheSource>
  <cacheFields count="15">
    <cacheField name="TX ID" numFmtId="0">
      <sharedItems count="2400">
        <s v="TX500001"/>
        <s v="TX500002"/>
        <s v="TX500003"/>
        <s v="TX500004"/>
        <s v="TX500005"/>
        <s v="TX500006"/>
        <s v="TX500007"/>
        <s v="TX500008"/>
        <s v="TX500009"/>
        <s v="TX500010"/>
        <s v="TX500011"/>
        <s v="TX500012"/>
        <s v="TX500013"/>
        <s v="TX500014"/>
        <s v="TX500015"/>
        <s v="TX500016"/>
        <s v="TX500017"/>
        <s v="TX500018"/>
        <s v="TX500019"/>
        <s v="TX500020"/>
        <s v="TX500021"/>
        <s v="TX500022"/>
        <s v="TX500023"/>
        <s v="TX500024"/>
        <s v="TX500025"/>
        <s v="TX500026"/>
        <s v="TX500027"/>
        <s v="TX500028"/>
        <s v="TX500029"/>
        <s v="TX500030"/>
        <s v="TX500031"/>
        <s v="TX500032"/>
        <s v="TX500033"/>
        <s v="TX500034"/>
        <s v="TX500035"/>
        <s v="TX500036"/>
        <s v="TX500037"/>
        <s v="TX500038"/>
        <s v="TX500039"/>
        <s v="TX500040"/>
        <s v="TX500041"/>
        <s v="TX500042"/>
        <s v="TX500043"/>
        <s v="TX500044"/>
        <s v="TX500045"/>
        <s v="TX500046"/>
        <s v="TX500047"/>
        <s v="TX500048"/>
        <s v="TX500049"/>
        <s v="TX500050"/>
        <s v="TX500051"/>
        <s v="TX500052"/>
        <s v="TX500053"/>
        <s v="TX500054"/>
        <s v="TX500055"/>
        <s v="TX500056"/>
        <s v="TX500057"/>
        <s v="TX500058"/>
        <s v="TX500059"/>
        <s v="TX500060"/>
        <s v="TX500061"/>
        <s v="TX500062"/>
        <s v="TX500063"/>
        <s v="TX500064"/>
        <s v="TX500065"/>
        <s v="TX500066"/>
        <s v="TX500067"/>
        <s v="TX500068"/>
        <s v="TX500069"/>
        <s v="TX500070"/>
        <s v="TX500071"/>
        <s v="TX500072"/>
        <s v="TX500073"/>
        <s v="TX500074"/>
        <s v="TX500075"/>
        <s v="TX500076"/>
        <s v="TX500077"/>
        <s v="TX500078"/>
        <s v="TX500079"/>
        <s v="TX500080"/>
        <s v="TX500081"/>
        <s v="TX500082"/>
        <s v="TX500083"/>
        <s v="TX500084"/>
        <s v="TX500085"/>
        <s v="TX500086"/>
        <s v="TX500087"/>
        <s v="TX500088"/>
        <s v="TX500089"/>
        <s v="TX500090"/>
        <s v="TX500091"/>
        <s v="TX500092"/>
        <s v="TX500093"/>
        <s v="TX500094"/>
        <s v="TX500095"/>
        <s v="TX500096"/>
        <s v="TX500097"/>
        <s v="TX500098"/>
        <s v="TX500099"/>
        <s v="TX500100"/>
        <s v="TX500101"/>
        <s v="TX500102"/>
        <s v="TX500103"/>
        <s v="TX500104"/>
        <s v="TX500105"/>
        <s v="TX500106"/>
        <s v="TX500107"/>
        <s v="TX500108"/>
        <s v="TX500109"/>
        <s v="TX500110"/>
        <s v="TX500111"/>
        <s v="TX500112"/>
        <s v="TX500113"/>
        <s v="TX500114"/>
        <s v="TX500115"/>
        <s v="TX500116"/>
        <s v="TX500117"/>
        <s v="TX500118"/>
        <s v="TX500119"/>
        <s v="TX500120"/>
        <s v="TX500121"/>
        <s v="TX500122"/>
        <s v="TX500123"/>
        <s v="TX500124"/>
        <s v="TX500125"/>
        <s v="TX500126"/>
        <s v="TX500127"/>
        <s v="TX500128"/>
        <s v="TX500129"/>
        <s v="TX500130"/>
        <s v="TX500131"/>
        <s v="TX500132"/>
        <s v="TX500133"/>
        <s v="TX500134"/>
        <s v="TX500135"/>
        <s v="TX500136"/>
        <s v="TX500137"/>
        <s v="TX500138"/>
        <s v="TX500139"/>
        <s v="TX500140"/>
        <s v="TX500141"/>
        <s v="TX500142"/>
        <s v="TX500143"/>
        <s v="TX500144"/>
        <s v="TX500145"/>
        <s v="TX500146"/>
        <s v="TX500147"/>
        <s v="TX500148"/>
        <s v="TX500149"/>
        <s v="TX500150"/>
        <s v="TX500151"/>
        <s v="TX500152"/>
        <s v="TX500153"/>
        <s v="TX500154"/>
        <s v="TX500155"/>
        <s v="TX500156"/>
        <s v="TX500157"/>
        <s v="TX500158"/>
        <s v="TX500159"/>
        <s v="TX500160"/>
        <s v="TX500161"/>
        <s v="TX500162"/>
        <s v="TX500163"/>
        <s v="TX500164"/>
        <s v="TX500165"/>
        <s v="TX500166"/>
        <s v="TX500167"/>
        <s v="TX500168"/>
        <s v="TX500169"/>
        <s v="TX500170"/>
        <s v="TX500171"/>
        <s v="TX500172"/>
        <s v="TX500173"/>
        <s v="TX500174"/>
        <s v="TX500175"/>
        <s v="TX500176"/>
        <s v="TX500177"/>
        <s v="TX500178"/>
        <s v="TX500179"/>
        <s v="TX500180"/>
        <s v="TX500181"/>
        <s v="TX500182"/>
        <s v="TX500183"/>
        <s v="TX500184"/>
        <s v="TX500185"/>
        <s v="TX500186"/>
        <s v="TX500187"/>
        <s v="TX500188"/>
        <s v="TX500189"/>
        <s v="TX500190"/>
        <s v="TX500191"/>
        <s v="TX500192"/>
        <s v="TX500193"/>
        <s v="TX500194"/>
        <s v="TX500195"/>
        <s v="TX500196"/>
        <s v="TX500197"/>
        <s v="TX500198"/>
        <s v="TX500199"/>
        <s v="TX500200"/>
        <s v="TX500201"/>
        <s v="TX500202"/>
        <s v="TX500203"/>
        <s v="TX500204"/>
        <s v="TX500205"/>
        <s v="TX500206"/>
        <s v="TX500207"/>
        <s v="TX500208"/>
        <s v="TX500209"/>
        <s v="TX500210"/>
        <s v="TX500211"/>
        <s v="TX500212"/>
        <s v="TX500213"/>
        <s v="TX500214"/>
        <s v="TX500215"/>
        <s v="TX500216"/>
        <s v="TX500217"/>
        <s v="TX500218"/>
        <s v="TX500219"/>
        <s v="TX500220"/>
        <s v="TX500221"/>
        <s v="TX500222"/>
        <s v="TX500223"/>
        <s v="TX500224"/>
        <s v="TX500225"/>
        <s v="TX500226"/>
        <s v="TX500227"/>
        <s v="TX500228"/>
        <s v="TX500229"/>
        <s v="TX500230"/>
        <s v="TX500231"/>
        <s v="TX500232"/>
        <s v="TX500233"/>
        <s v="TX500234"/>
        <s v="TX500235"/>
        <s v="TX500236"/>
        <s v="TX500237"/>
        <s v="TX500238"/>
        <s v="TX500239"/>
        <s v="TX500240"/>
        <s v="TX500241"/>
        <s v="TX500242"/>
        <s v="TX500243"/>
        <s v="TX500244"/>
        <s v="TX500245"/>
        <s v="TX500246"/>
        <s v="TX500247"/>
        <s v="TX500248"/>
        <s v="TX500249"/>
        <s v="TX500250"/>
        <s v="TX500251"/>
        <s v="TX500252"/>
        <s v="TX500253"/>
        <s v="TX500254"/>
        <s v="TX500255"/>
        <s v="TX500256"/>
        <s v="TX500257"/>
        <s v="TX500258"/>
        <s v="TX500259"/>
        <s v="TX500260"/>
        <s v="TX500261"/>
        <s v="TX500262"/>
        <s v="TX500263"/>
        <s v="TX500264"/>
        <s v="TX500265"/>
        <s v="TX500266"/>
        <s v="TX500267"/>
        <s v="TX500268"/>
        <s v="TX500269"/>
        <s v="TX500270"/>
        <s v="TX500271"/>
        <s v="TX500272"/>
        <s v="TX500273"/>
        <s v="TX500274"/>
        <s v="TX500275"/>
        <s v="TX500276"/>
        <s v="TX500277"/>
        <s v="TX500278"/>
        <s v="TX500279"/>
        <s v="TX500280"/>
        <s v="TX500281"/>
        <s v="TX500282"/>
        <s v="TX500283"/>
        <s v="TX500284"/>
        <s v="TX500285"/>
        <s v="TX500286"/>
        <s v="TX500287"/>
        <s v="TX500288"/>
        <s v="TX500289"/>
        <s v="TX500290"/>
        <s v="TX500291"/>
        <s v="TX500292"/>
        <s v="TX500293"/>
        <s v="TX500294"/>
        <s v="TX500295"/>
        <s v="TX500296"/>
        <s v="TX500297"/>
        <s v="TX500298"/>
        <s v="TX500299"/>
        <s v="TX500300"/>
        <s v="TX500301"/>
        <s v="TX500302"/>
        <s v="TX500303"/>
        <s v="TX500304"/>
        <s v="TX500305"/>
        <s v="TX500306"/>
        <s v="TX500307"/>
        <s v="TX500308"/>
        <s v="TX500309"/>
        <s v="TX500310"/>
        <s v="TX500311"/>
        <s v="TX500312"/>
        <s v="TX500313"/>
        <s v="TX500314"/>
        <s v="TX500315"/>
        <s v="TX500316"/>
        <s v="TX500317"/>
        <s v="TX500318"/>
        <s v="TX500319"/>
        <s v="TX500320"/>
        <s v="TX500321"/>
        <s v="TX500322"/>
        <s v="TX500323"/>
        <s v="TX500324"/>
        <s v="TX500325"/>
        <s v="TX500326"/>
        <s v="TX500327"/>
        <s v="TX500328"/>
        <s v="TX500329"/>
        <s v="TX500330"/>
        <s v="TX500331"/>
        <s v="TX500332"/>
        <s v="TX500333"/>
        <s v="TX500334"/>
        <s v="TX500335"/>
        <s v="TX500336"/>
        <s v="TX500337"/>
        <s v="TX500338"/>
        <s v="TX500339"/>
        <s v="TX500340"/>
        <s v="TX500341"/>
        <s v="TX500342"/>
        <s v="TX500343"/>
        <s v="TX500344"/>
        <s v="TX500345"/>
        <s v="TX500346"/>
        <s v="TX500347"/>
        <s v="TX500348"/>
        <s v="TX500349"/>
        <s v="TX500350"/>
        <s v="TX500351"/>
        <s v="TX500352"/>
        <s v="TX500353"/>
        <s v="TX500354"/>
        <s v="TX500355"/>
        <s v="TX500356"/>
        <s v="TX500357"/>
        <s v="TX500358"/>
        <s v="TX500359"/>
        <s v="TX500360"/>
        <s v="TX500361"/>
        <s v="TX500362"/>
        <s v="TX500363"/>
        <s v="TX500364"/>
        <s v="TX500365"/>
        <s v="TX500366"/>
        <s v="TX500367"/>
        <s v="TX500368"/>
        <s v="TX500369"/>
        <s v="TX500370"/>
        <s v="TX500371"/>
        <s v="TX500372"/>
        <s v="TX500373"/>
        <s v="TX500374"/>
        <s v="TX500375"/>
        <s v="TX500376"/>
        <s v="TX500377"/>
        <s v="TX500378"/>
        <s v="TX500379"/>
        <s v="TX500380"/>
        <s v="TX500381"/>
        <s v="TX500382"/>
        <s v="TX500383"/>
        <s v="TX500384"/>
        <s v="TX500385"/>
        <s v="TX500386"/>
        <s v="TX500387"/>
        <s v="TX500388"/>
        <s v="TX500389"/>
        <s v="TX500390"/>
        <s v="TX500391"/>
        <s v="TX500392"/>
        <s v="TX500393"/>
        <s v="TX500394"/>
        <s v="TX500395"/>
        <s v="TX500396"/>
        <s v="TX500397"/>
        <s v="TX500398"/>
        <s v="TX500399"/>
        <s v="TX500400"/>
        <s v="TX500401"/>
        <s v="TX500402"/>
        <s v="TX500403"/>
        <s v="TX500404"/>
        <s v="TX500405"/>
        <s v="TX500406"/>
        <s v="TX500407"/>
        <s v="TX500408"/>
        <s v="TX500409"/>
        <s v="TX500410"/>
        <s v="TX500411"/>
        <s v="TX500412"/>
        <s v="TX500413"/>
        <s v="TX500414"/>
        <s v="TX500415"/>
        <s v="TX500416"/>
        <s v="TX500417"/>
        <s v="TX500418"/>
        <s v="TX500419"/>
        <s v="TX500420"/>
        <s v="TX500421"/>
        <s v="TX500422"/>
        <s v="TX500423"/>
        <s v="TX500424"/>
        <s v="TX500425"/>
        <s v="TX500426"/>
        <s v="TX500427"/>
        <s v="TX500428"/>
        <s v="TX500429"/>
        <s v="TX500430"/>
        <s v="TX500431"/>
        <s v="TX500432"/>
        <s v="TX500433"/>
        <s v="TX500434"/>
        <s v="TX500435"/>
        <s v="TX500436"/>
        <s v="TX500437"/>
        <s v="TX500438"/>
        <s v="TX500439"/>
        <s v="TX500440"/>
        <s v="TX500441"/>
        <s v="TX500442"/>
        <s v="TX500443"/>
        <s v="TX500444"/>
        <s v="TX500445"/>
        <s v="TX500446"/>
        <s v="TX500447"/>
        <s v="TX500448"/>
        <s v="TX500449"/>
        <s v="TX500450"/>
        <s v="TX500451"/>
        <s v="TX500452"/>
        <s v="TX500453"/>
        <s v="TX500454"/>
        <s v="TX500455"/>
        <s v="TX500456"/>
        <s v="TX500457"/>
        <s v="TX500458"/>
        <s v="TX500459"/>
        <s v="TX500460"/>
        <s v="TX500461"/>
        <s v="TX500462"/>
        <s v="TX500463"/>
        <s v="TX500464"/>
        <s v="TX500465"/>
        <s v="TX500466"/>
        <s v="TX500467"/>
        <s v="TX500468"/>
        <s v="TX500469"/>
        <s v="TX500470"/>
        <s v="TX500471"/>
        <s v="TX500472"/>
        <s v="TX500473"/>
        <s v="TX500474"/>
        <s v="TX500475"/>
        <s v="TX500476"/>
        <s v="TX500477"/>
        <s v="TX500478"/>
        <s v="TX500479"/>
        <s v="TX500480"/>
        <s v="TX500481"/>
        <s v="TX500482"/>
        <s v="TX500483"/>
        <s v="TX500484"/>
        <s v="TX500485"/>
        <s v="TX500486"/>
        <s v="TX500487"/>
        <s v="TX500488"/>
        <s v="TX500489"/>
        <s v="TX500490"/>
        <s v="TX500491"/>
        <s v="TX500492"/>
        <s v="TX500493"/>
        <s v="TX500494"/>
        <s v="TX500495"/>
        <s v="TX500496"/>
        <s v="TX500497"/>
        <s v="TX500498"/>
        <s v="TX500499"/>
        <s v="TX500500"/>
        <s v="TX500501"/>
        <s v="TX500502"/>
        <s v="TX500503"/>
        <s v="TX500504"/>
        <s v="TX500505"/>
        <s v="TX500506"/>
        <s v="TX500507"/>
        <s v="TX500508"/>
        <s v="TX500509"/>
        <s v="TX500510"/>
        <s v="TX500511"/>
        <s v="TX500512"/>
        <s v="TX500513"/>
        <s v="TX500514"/>
        <s v="TX500515"/>
        <s v="TX500516"/>
        <s v="TX500517"/>
        <s v="TX500518"/>
        <s v="TX500519"/>
        <s v="TX500520"/>
        <s v="TX500521"/>
        <s v="TX500522"/>
        <s v="TX500523"/>
        <s v="TX500524"/>
        <s v="TX500525"/>
        <s v="TX500526"/>
        <s v="TX500527"/>
        <s v="TX500528"/>
        <s v="TX500529"/>
        <s v="TX500530"/>
        <s v="TX500531"/>
        <s v="TX500532"/>
        <s v="TX500533"/>
        <s v="TX500534"/>
        <s v="TX500535"/>
        <s v="TX500536"/>
        <s v="TX500537"/>
        <s v="TX500538"/>
        <s v="TX500539"/>
        <s v="TX500540"/>
        <s v="TX500541"/>
        <s v="TX500542"/>
        <s v="TX500543"/>
        <s v="TX500544"/>
        <s v="TX500545"/>
        <s v="TX500546"/>
        <s v="TX500547"/>
        <s v="TX500548"/>
        <s v="TX500549"/>
        <s v="TX500550"/>
        <s v="TX500551"/>
        <s v="TX500552"/>
        <s v="TX500553"/>
        <s v="TX500554"/>
        <s v="TX500555"/>
        <s v="TX500556"/>
        <s v="TX500557"/>
        <s v="TX500558"/>
        <s v="TX500559"/>
        <s v="TX500560"/>
        <s v="TX500561"/>
        <s v="TX500562"/>
        <s v="TX500563"/>
        <s v="TX500564"/>
        <s v="TX500565"/>
        <s v="TX500566"/>
        <s v="TX500567"/>
        <s v="TX500568"/>
        <s v="TX500569"/>
        <s v="TX500570"/>
        <s v="TX500571"/>
        <s v="TX500572"/>
        <s v="TX500573"/>
        <s v="TX500574"/>
        <s v="TX500575"/>
        <s v="TX500576"/>
        <s v="TX500577"/>
        <s v="TX500578"/>
        <s v="TX500579"/>
        <s v="TX500580"/>
        <s v="TX500581"/>
        <s v="TX500582"/>
        <s v="TX500583"/>
        <s v="TX500584"/>
        <s v="TX500585"/>
        <s v="TX500586"/>
        <s v="TX500587"/>
        <s v="TX500588"/>
        <s v="TX500589"/>
        <s v="TX500590"/>
        <s v="TX500591"/>
        <s v="TX500592"/>
        <s v="TX500593"/>
        <s v="TX500594"/>
        <s v="TX500595"/>
        <s v="TX500596"/>
        <s v="TX500597"/>
        <s v="TX500598"/>
        <s v="TX500599"/>
        <s v="TX500600"/>
        <s v="TX500601"/>
        <s v="TX500602"/>
        <s v="TX500603"/>
        <s v="TX500604"/>
        <s v="TX500605"/>
        <s v="TX500606"/>
        <s v="TX500607"/>
        <s v="TX500608"/>
        <s v="TX500609"/>
        <s v="TX500610"/>
        <s v="TX500611"/>
        <s v="TX500612"/>
        <s v="TX500613"/>
        <s v="TX500614"/>
        <s v="TX500615"/>
        <s v="TX500616"/>
        <s v="TX500617"/>
        <s v="TX500618"/>
        <s v="TX500619"/>
        <s v="TX500620"/>
        <s v="TX500621"/>
        <s v="TX500622"/>
        <s v="TX500623"/>
        <s v="TX500624"/>
        <s v="TX500625"/>
        <s v="TX500626"/>
        <s v="TX500627"/>
        <s v="TX500628"/>
        <s v="TX500629"/>
        <s v="TX500630"/>
        <s v="TX500631"/>
        <s v="TX500632"/>
        <s v="TX500633"/>
        <s v="TX500634"/>
        <s v="TX500635"/>
        <s v="TX500636"/>
        <s v="TX500637"/>
        <s v="TX500638"/>
        <s v="TX500639"/>
        <s v="TX500640"/>
        <s v="TX500641"/>
        <s v="TX500642"/>
        <s v="TX500643"/>
        <s v="TX500644"/>
        <s v="TX500645"/>
        <s v="TX500646"/>
        <s v="TX500647"/>
        <s v="TX500648"/>
        <s v="TX500649"/>
        <s v="TX500650"/>
        <s v="TX500651"/>
        <s v="TX500652"/>
        <s v="TX500653"/>
        <s v="TX500654"/>
        <s v="TX500655"/>
        <s v="TX500656"/>
        <s v="TX500657"/>
        <s v="TX500658"/>
        <s v="TX500659"/>
        <s v="TX500660"/>
        <s v="TX500661"/>
        <s v="TX500662"/>
        <s v="TX500663"/>
        <s v="TX500664"/>
        <s v="TX500665"/>
        <s v="TX500666"/>
        <s v="TX500667"/>
        <s v="TX500668"/>
        <s v="TX500669"/>
        <s v="TX500670"/>
        <s v="TX500671"/>
        <s v="TX500672"/>
        <s v="TX500673"/>
        <s v="TX500674"/>
        <s v="TX500675"/>
        <s v="TX500676"/>
        <s v="TX500677"/>
        <s v="TX500678"/>
        <s v="TX500679"/>
        <s v="TX500680"/>
        <s v="TX500681"/>
        <s v="TX500682"/>
        <s v="TX500683"/>
        <s v="TX500684"/>
        <s v="TX500685"/>
        <s v="TX500686"/>
        <s v="TX500687"/>
        <s v="TX500688"/>
        <s v="TX500689"/>
        <s v="TX500690"/>
        <s v="TX500691"/>
        <s v="TX500692"/>
        <s v="TX500693"/>
        <s v="TX500694"/>
        <s v="TX500695"/>
        <s v="TX500696"/>
        <s v="TX500697"/>
        <s v="TX500698"/>
        <s v="TX500699"/>
        <s v="TX500700"/>
        <s v="TX500701"/>
        <s v="TX500702"/>
        <s v="TX500703"/>
        <s v="TX500704"/>
        <s v="TX500705"/>
        <s v="TX500706"/>
        <s v="TX500707"/>
        <s v="TX500708"/>
        <s v="TX500709"/>
        <s v="TX500710"/>
        <s v="TX500711"/>
        <s v="TX500712"/>
        <s v="TX500713"/>
        <s v="TX500714"/>
        <s v="TX500715"/>
        <s v="TX500716"/>
        <s v="TX500717"/>
        <s v="TX500718"/>
        <s v="TX500719"/>
        <s v="TX500720"/>
        <s v="TX500721"/>
        <s v="TX500722"/>
        <s v="TX500723"/>
        <s v="TX500724"/>
        <s v="TX500725"/>
        <s v="TX500726"/>
        <s v="TX500727"/>
        <s v="TX500728"/>
        <s v="TX500729"/>
        <s v="TX500730"/>
        <s v="TX500731"/>
        <s v="TX500732"/>
        <s v="TX500733"/>
        <s v="TX500734"/>
        <s v="TX500735"/>
        <s v="TX500736"/>
        <s v="TX500737"/>
        <s v="TX500738"/>
        <s v="TX500739"/>
        <s v="TX500740"/>
        <s v="TX500741"/>
        <s v="TX500742"/>
        <s v="TX500743"/>
        <s v="TX500744"/>
        <s v="TX500745"/>
        <s v="TX500746"/>
        <s v="TX500747"/>
        <s v="TX500748"/>
        <s v="TX500749"/>
        <s v="TX500750"/>
        <s v="TX500751"/>
        <s v="TX500752"/>
        <s v="TX500753"/>
        <s v="TX500754"/>
        <s v="TX500755"/>
        <s v="TX500756"/>
        <s v="TX500757"/>
        <s v="TX500758"/>
        <s v="TX500759"/>
        <s v="TX500760"/>
        <s v="TX500761"/>
        <s v="TX500762"/>
        <s v="TX500763"/>
        <s v="TX500764"/>
        <s v="TX500765"/>
        <s v="TX500766"/>
        <s v="TX500767"/>
        <s v="TX500768"/>
        <s v="TX500769"/>
        <s v="TX500770"/>
        <s v="TX500771"/>
        <s v="TX500772"/>
        <s v="TX500773"/>
        <s v="TX500774"/>
        <s v="TX500775"/>
        <s v="TX500776"/>
        <s v="TX500777"/>
        <s v="TX500778"/>
        <s v="TX500779"/>
        <s v="TX500780"/>
        <s v="TX500781"/>
        <s v="TX500782"/>
        <s v="TX500783"/>
        <s v="TX500784"/>
        <s v="TX500785"/>
        <s v="TX500786"/>
        <s v="TX500787"/>
        <s v="TX500788"/>
        <s v="TX500789"/>
        <s v="TX500790"/>
        <s v="TX500791"/>
        <s v="TX500792"/>
        <s v="TX500793"/>
        <s v="TX500794"/>
        <s v="TX500795"/>
        <s v="TX500796"/>
        <s v="TX500797"/>
        <s v="TX500798"/>
        <s v="TX500799"/>
        <s v="TX500800"/>
        <s v="TX500801"/>
        <s v="TX500802"/>
        <s v="TX500803"/>
        <s v="TX500804"/>
        <s v="TX500805"/>
        <s v="TX500806"/>
        <s v="TX500807"/>
        <s v="TX500808"/>
        <s v="TX500809"/>
        <s v="TX500810"/>
        <s v="TX500811"/>
        <s v="TX500812"/>
        <s v="TX500813"/>
        <s v="TX500814"/>
        <s v="TX500815"/>
        <s v="TX500816"/>
        <s v="TX500817"/>
        <s v="TX500818"/>
        <s v="TX500819"/>
        <s v="TX500820"/>
        <s v="TX500821"/>
        <s v="TX500822"/>
        <s v="TX500823"/>
        <s v="TX500824"/>
        <s v="TX500825"/>
        <s v="TX500826"/>
        <s v="TX500827"/>
        <s v="TX500828"/>
        <s v="TX500829"/>
        <s v="TX500830"/>
        <s v="TX500831"/>
        <s v="TX500832"/>
        <s v="TX500833"/>
        <s v="TX500834"/>
        <s v="TX500835"/>
        <s v="TX500836"/>
        <s v="TX500837"/>
        <s v="TX500838"/>
        <s v="TX500839"/>
        <s v="TX500840"/>
        <s v="TX500841"/>
        <s v="TX500842"/>
        <s v="TX500843"/>
        <s v="TX500844"/>
        <s v="TX500845"/>
        <s v="TX500846"/>
        <s v="TX500847"/>
        <s v="TX500848"/>
        <s v="TX500849"/>
        <s v="TX500850"/>
        <s v="TX500851"/>
        <s v="TX500852"/>
        <s v="TX500853"/>
        <s v="TX500854"/>
        <s v="TX500855"/>
        <s v="TX500856"/>
        <s v="TX500857"/>
        <s v="TX500858"/>
        <s v="TX500859"/>
        <s v="TX500860"/>
        <s v="TX500861"/>
        <s v="TX500862"/>
        <s v="TX500863"/>
        <s v="TX500864"/>
        <s v="TX500865"/>
        <s v="TX500866"/>
        <s v="TX500867"/>
        <s v="TX500868"/>
        <s v="TX500869"/>
        <s v="TX500870"/>
        <s v="TX500871"/>
        <s v="TX500872"/>
        <s v="TX500873"/>
        <s v="TX500874"/>
        <s v="TX500875"/>
        <s v="TX500876"/>
        <s v="TX500877"/>
        <s v="TX500878"/>
        <s v="TX500879"/>
        <s v="TX500880"/>
        <s v="TX500881"/>
        <s v="TX500882"/>
        <s v="TX500883"/>
        <s v="TX500884"/>
        <s v="TX500885"/>
        <s v="TX500886"/>
        <s v="TX500887"/>
        <s v="TX500888"/>
        <s v="TX500889"/>
        <s v="TX500890"/>
        <s v="TX500891"/>
        <s v="TX500892"/>
        <s v="TX500893"/>
        <s v="TX500894"/>
        <s v="TX500895"/>
        <s v="TX500896"/>
        <s v="TX500897"/>
        <s v="TX500898"/>
        <s v="TX500899"/>
        <s v="TX500900"/>
        <s v="TX500901"/>
        <s v="TX500902"/>
        <s v="TX500903"/>
        <s v="TX500904"/>
        <s v="TX500905"/>
        <s v="TX500906"/>
        <s v="TX500907"/>
        <s v="TX500908"/>
        <s v="TX500909"/>
        <s v="TX500910"/>
        <s v="TX500911"/>
        <s v="TX500912"/>
        <s v="TX500913"/>
        <s v="TX500914"/>
        <s v="TX500915"/>
        <s v="TX500916"/>
        <s v="TX500917"/>
        <s v="TX500918"/>
        <s v="TX500919"/>
        <s v="TX500920"/>
        <s v="TX500921"/>
        <s v="TX500922"/>
        <s v="TX500923"/>
        <s v="TX500924"/>
        <s v="TX500925"/>
        <s v="TX500926"/>
        <s v="TX500927"/>
        <s v="TX500928"/>
        <s v="TX500929"/>
        <s v="TX500930"/>
        <s v="TX500931"/>
        <s v="TX500932"/>
        <s v="TX500933"/>
        <s v="TX500934"/>
        <s v="TX500935"/>
        <s v="TX500936"/>
        <s v="TX500937"/>
        <s v="TX500938"/>
        <s v="TX500939"/>
        <s v="TX500940"/>
        <s v="TX500941"/>
        <s v="TX500942"/>
        <s v="TX500943"/>
        <s v="TX500944"/>
        <s v="TX500945"/>
        <s v="TX500946"/>
        <s v="TX500947"/>
        <s v="TX500948"/>
        <s v="TX500949"/>
        <s v="TX500950"/>
        <s v="TX500951"/>
        <s v="TX500952"/>
        <s v="TX500953"/>
        <s v="TX500954"/>
        <s v="TX500955"/>
        <s v="TX500956"/>
        <s v="TX500957"/>
        <s v="TX500958"/>
        <s v="TX500959"/>
        <s v="TX500960"/>
        <s v="TX500961"/>
        <s v="TX500962"/>
        <s v="TX500963"/>
        <s v="TX500964"/>
        <s v="TX500965"/>
        <s v="TX500966"/>
        <s v="TX500967"/>
        <s v="TX500968"/>
        <s v="TX500969"/>
        <s v="TX500970"/>
        <s v="TX500971"/>
        <s v="TX500972"/>
        <s v="TX500973"/>
        <s v="TX500974"/>
        <s v="TX500975"/>
        <s v="TX500976"/>
        <s v="TX500977"/>
        <s v="TX500978"/>
        <s v="TX500979"/>
        <s v="TX500980"/>
        <s v="TX500981"/>
        <s v="TX500982"/>
        <s v="TX500983"/>
        <s v="TX500984"/>
        <s v="TX500985"/>
        <s v="TX500986"/>
        <s v="TX500987"/>
        <s v="TX500988"/>
        <s v="TX500989"/>
        <s v="TX500990"/>
        <s v="TX500991"/>
        <s v="TX500992"/>
        <s v="TX500993"/>
        <s v="TX500994"/>
        <s v="TX500995"/>
        <s v="TX500996"/>
        <s v="TX500997"/>
        <s v="TX500998"/>
        <s v="TX500999"/>
        <s v="TX501000"/>
        <s v="TX501001"/>
        <s v="TX501002"/>
        <s v="TX501003"/>
        <s v="TX501004"/>
        <s v="TX501005"/>
        <s v="TX501006"/>
        <s v="TX501007"/>
        <s v="TX501008"/>
        <s v="TX501009"/>
        <s v="TX501010"/>
        <s v="TX501011"/>
        <s v="TX501012"/>
        <s v="TX501013"/>
        <s v="TX501014"/>
        <s v="TX501015"/>
        <s v="TX501016"/>
        <s v="TX501017"/>
        <s v="TX501018"/>
        <s v="TX501019"/>
        <s v="TX501020"/>
        <s v="TX501021"/>
        <s v="TX501022"/>
        <s v="TX501023"/>
        <s v="TX501024"/>
        <s v="TX501025"/>
        <s v="TX501026"/>
        <s v="TX501027"/>
        <s v="TX501028"/>
        <s v="TX501029"/>
        <s v="TX501030"/>
        <s v="TX501031"/>
        <s v="TX501032"/>
        <s v="TX501033"/>
        <s v="TX501034"/>
        <s v="TX501035"/>
        <s v="TX501036"/>
        <s v="TX501037"/>
        <s v="TX501038"/>
        <s v="TX501039"/>
        <s v="TX501040"/>
        <s v="TX501041"/>
        <s v="TX501042"/>
        <s v="TX501043"/>
        <s v="TX501044"/>
        <s v="TX501045"/>
        <s v="TX501046"/>
        <s v="TX501047"/>
        <s v="TX501048"/>
        <s v="TX501049"/>
        <s v="TX501050"/>
        <s v="TX501051"/>
        <s v="TX501052"/>
        <s v="TX501053"/>
        <s v="TX501054"/>
        <s v="TX501055"/>
        <s v="TX501056"/>
        <s v="TX501057"/>
        <s v="TX501058"/>
        <s v="TX501059"/>
        <s v="TX501060"/>
        <s v="TX501061"/>
        <s v="TX501062"/>
        <s v="TX501063"/>
        <s v="TX501064"/>
        <s v="TX501065"/>
        <s v="TX501066"/>
        <s v="TX501067"/>
        <s v="TX501068"/>
        <s v="TX501069"/>
        <s v="TX501070"/>
        <s v="TX501071"/>
        <s v="TX501072"/>
        <s v="TX501073"/>
        <s v="TX501074"/>
        <s v="TX501075"/>
        <s v="TX501076"/>
        <s v="TX501077"/>
        <s v="TX501078"/>
        <s v="TX501079"/>
        <s v="TX501080"/>
        <s v="TX501081"/>
        <s v="TX501082"/>
        <s v="TX501083"/>
        <s v="TX501084"/>
        <s v="TX501085"/>
        <s v="TX501086"/>
        <s v="TX501087"/>
        <s v="TX501088"/>
        <s v="TX501089"/>
        <s v="TX501090"/>
        <s v="TX501091"/>
        <s v="TX501092"/>
        <s v="TX501093"/>
        <s v="TX501094"/>
        <s v="TX501095"/>
        <s v="TX501096"/>
        <s v="TX501097"/>
        <s v="TX501098"/>
        <s v="TX501099"/>
        <s v="TX501100"/>
        <s v="TX501101"/>
        <s v="TX501102"/>
        <s v="TX501103"/>
        <s v="TX501104"/>
        <s v="TX501105"/>
        <s v="TX501106"/>
        <s v="TX501107"/>
        <s v="TX501108"/>
        <s v="TX501109"/>
        <s v="TX501110"/>
        <s v="TX501111"/>
        <s v="TX501112"/>
        <s v="TX501113"/>
        <s v="TX501114"/>
        <s v="TX501115"/>
        <s v="TX501116"/>
        <s v="TX501117"/>
        <s v="TX501118"/>
        <s v="TX501119"/>
        <s v="TX501120"/>
        <s v="TX501121"/>
        <s v="TX501122"/>
        <s v="TX501123"/>
        <s v="TX501124"/>
        <s v="TX501125"/>
        <s v="TX501126"/>
        <s v="TX501127"/>
        <s v="TX501128"/>
        <s v="TX501129"/>
        <s v="TX501130"/>
        <s v="TX501131"/>
        <s v="TX501132"/>
        <s v="TX501133"/>
        <s v="TX501134"/>
        <s v="TX501135"/>
        <s v="TX501136"/>
        <s v="TX501137"/>
        <s v="TX501138"/>
        <s v="TX501139"/>
        <s v="TX501140"/>
        <s v="TX501141"/>
        <s v="TX501142"/>
        <s v="TX501143"/>
        <s v="TX501144"/>
        <s v="TX501145"/>
        <s v="TX501146"/>
        <s v="TX501147"/>
        <s v="TX501148"/>
        <s v="TX501149"/>
        <s v="TX501150"/>
        <s v="TX501151"/>
        <s v="TX501152"/>
        <s v="TX501153"/>
        <s v="TX501154"/>
        <s v="TX501155"/>
        <s v="TX501156"/>
        <s v="TX501157"/>
        <s v="TX501158"/>
        <s v="TX501159"/>
        <s v="TX501160"/>
        <s v="TX501161"/>
        <s v="TX501162"/>
        <s v="TX501163"/>
        <s v="TX501164"/>
        <s v="TX501165"/>
        <s v="TX501166"/>
        <s v="TX501167"/>
        <s v="TX501168"/>
        <s v="TX501169"/>
        <s v="TX501170"/>
        <s v="TX501171"/>
        <s v="TX501172"/>
        <s v="TX501173"/>
        <s v="TX501174"/>
        <s v="TX501175"/>
        <s v="TX501176"/>
        <s v="TX501177"/>
        <s v="TX501178"/>
        <s v="TX501179"/>
        <s v="TX501180"/>
        <s v="TX501181"/>
        <s v="TX501182"/>
        <s v="TX501183"/>
        <s v="TX501184"/>
        <s v="TX501185"/>
        <s v="TX501186"/>
        <s v="TX501187"/>
        <s v="TX501188"/>
        <s v="TX501189"/>
        <s v="TX501190"/>
        <s v="TX501191"/>
        <s v="TX501192"/>
        <s v="TX501193"/>
        <s v="TX501194"/>
        <s v="TX501195"/>
        <s v="TX501196"/>
        <s v="TX501197"/>
        <s v="TX501198"/>
        <s v="TX501199"/>
        <s v="TX501200"/>
        <s v="TX501201"/>
        <s v="TX501202"/>
        <s v="TX501203"/>
        <s v="TX501204"/>
        <s v="TX501205"/>
        <s v="TX501206"/>
        <s v="TX501207"/>
        <s v="TX501208"/>
        <s v="TX501209"/>
        <s v="TX501210"/>
        <s v="TX501211"/>
        <s v="TX501212"/>
        <s v="TX501213"/>
        <s v="TX501214"/>
        <s v="TX501215"/>
        <s v="TX501216"/>
        <s v="TX501217"/>
        <s v="TX501218"/>
        <s v="TX501219"/>
        <s v="TX501220"/>
        <s v="TX501221"/>
        <s v="TX501222"/>
        <s v="TX501223"/>
        <s v="TX501224"/>
        <s v="TX501225"/>
        <s v="TX501226"/>
        <s v="TX501227"/>
        <s v="TX501228"/>
        <s v="TX501229"/>
        <s v="TX501230"/>
        <s v="TX501231"/>
        <s v="TX501232"/>
        <s v="TX501233"/>
        <s v="TX501234"/>
        <s v="TX501235"/>
        <s v="TX501236"/>
        <s v="TX501237"/>
        <s v="TX501238"/>
        <s v="TX501239"/>
        <s v="TX501240"/>
        <s v="TX501241"/>
        <s v="TX501242"/>
        <s v="TX501243"/>
        <s v="TX501244"/>
        <s v="TX501245"/>
        <s v="TX501246"/>
        <s v="TX501247"/>
        <s v="TX501248"/>
        <s v="TX501249"/>
        <s v="TX501250"/>
        <s v="TX501251"/>
        <s v="TX501252"/>
        <s v="TX501253"/>
        <s v="TX501254"/>
        <s v="TX501255"/>
        <s v="TX501256"/>
        <s v="TX501257"/>
        <s v="TX501258"/>
        <s v="TX501259"/>
        <s v="TX501260"/>
        <s v="TX501261"/>
        <s v="TX501262"/>
        <s v="TX501263"/>
        <s v="TX501264"/>
        <s v="TX501265"/>
        <s v="TX501266"/>
        <s v="TX501267"/>
        <s v="TX501268"/>
        <s v="TX501269"/>
        <s v="TX501270"/>
        <s v="TX501271"/>
        <s v="TX501272"/>
        <s v="TX501273"/>
        <s v="TX501274"/>
        <s v="TX501275"/>
        <s v="TX501276"/>
        <s v="TX501277"/>
        <s v="TX501278"/>
        <s v="TX501279"/>
        <s v="TX501280"/>
        <s v="TX501281"/>
        <s v="TX501282"/>
        <s v="TX501283"/>
        <s v="TX501284"/>
        <s v="TX501285"/>
        <s v="TX501286"/>
        <s v="TX501287"/>
        <s v="TX501288"/>
        <s v="TX501289"/>
        <s v="TX501290"/>
        <s v="TX501291"/>
        <s v="TX501292"/>
        <s v="TX501293"/>
        <s v="TX501294"/>
        <s v="TX501295"/>
        <s v="TX501296"/>
        <s v="TX501297"/>
        <s v="TX501298"/>
        <s v="TX501299"/>
        <s v="TX501300"/>
        <s v="TX501301"/>
        <s v="TX501302"/>
        <s v="TX501303"/>
        <s v="TX501304"/>
        <s v="TX501305"/>
        <s v="TX501306"/>
        <s v="TX501307"/>
        <s v="TX501308"/>
        <s v="TX501309"/>
        <s v="TX501310"/>
        <s v="TX501311"/>
        <s v="TX501312"/>
        <s v="TX501313"/>
        <s v="TX501314"/>
        <s v="TX501315"/>
        <s v="TX501316"/>
        <s v="TX501317"/>
        <s v="TX501318"/>
        <s v="TX501319"/>
        <s v="TX501320"/>
        <s v="TX501321"/>
        <s v="TX501322"/>
        <s v="TX501323"/>
        <s v="TX501324"/>
        <s v="TX501325"/>
        <s v="TX501326"/>
        <s v="TX501327"/>
        <s v="TX501328"/>
        <s v="TX501329"/>
        <s v="TX501330"/>
        <s v="TX501331"/>
        <s v="TX501332"/>
        <s v="TX501333"/>
        <s v="TX501334"/>
        <s v="TX501335"/>
        <s v="TX501336"/>
        <s v="TX501337"/>
        <s v="TX501338"/>
        <s v="TX501339"/>
        <s v="TX501340"/>
        <s v="TX501341"/>
        <s v="TX501342"/>
        <s v="TX501343"/>
        <s v="TX501344"/>
        <s v="TX501345"/>
        <s v="TX501346"/>
        <s v="TX501347"/>
        <s v="TX501348"/>
        <s v="TX501349"/>
        <s v="TX501350"/>
        <s v="TX501351"/>
        <s v="TX501352"/>
        <s v="TX501353"/>
        <s v="TX501354"/>
        <s v="TX501355"/>
        <s v="TX501356"/>
        <s v="TX501357"/>
        <s v="TX501358"/>
        <s v="TX501359"/>
        <s v="TX501360"/>
        <s v="TX501361"/>
        <s v="TX501362"/>
        <s v="TX501363"/>
        <s v="TX501364"/>
        <s v="TX501365"/>
        <s v="TX501366"/>
        <s v="TX501367"/>
        <s v="TX501368"/>
        <s v="TX501369"/>
        <s v="TX501370"/>
        <s v="TX501371"/>
        <s v="TX501372"/>
        <s v="TX501373"/>
        <s v="TX501374"/>
        <s v="TX501375"/>
        <s v="TX501376"/>
        <s v="TX501377"/>
        <s v="TX501378"/>
        <s v="TX501379"/>
        <s v="TX501380"/>
        <s v="TX501381"/>
        <s v="TX501382"/>
        <s v="TX501383"/>
        <s v="TX501384"/>
        <s v="TX501385"/>
        <s v="TX501386"/>
        <s v="TX501387"/>
        <s v="TX501388"/>
        <s v="TX501389"/>
        <s v="TX501390"/>
        <s v="TX501391"/>
        <s v="TX501392"/>
        <s v="TX501393"/>
        <s v="TX501394"/>
        <s v="TX501395"/>
        <s v="TX501396"/>
        <s v="TX501397"/>
        <s v="TX501398"/>
        <s v="TX501399"/>
        <s v="TX501400"/>
        <s v="TX501401"/>
        <s v="TX501402"/>
        <s v="TX501403"/>
        <s v="TX501404"/>
        <s v="TX501405"/>
        <s v="TX501406"/>
        <s v="TX501407"/>
        <s v="TX501408"/>
        <s v="TX501409"/>
        <s v="TX501410"/>
        <s v="TX501411"/>
        <s v="TX501412"/>
        <s v="TX501413"/>
        <s v="TX501414"/>
        <s v="TX501415"/>
        <s v="TX501416"/>
        <s v="TX501417"/>
        <s v="TX501418"/>
        <s v="TX501419"/>
        <s v="TX501420"/>
        <s v="TX501421"/>
        <s v="TX501422"/>
        <s v="TX501423"/>
        <s v="TX501424"/>
        <s v="TX501425"/>
        <s v="TX501426"/>
        <s v="TX501427"/>
        <s v="TX501428"/>
        <s v="TX501429"/>
        <s v="TX501430"/>
        <s v="TX501431"/>
        <s v="TX501432"/>
        <s v="TX501433"/>
        <s v="TX501434"/>
        <s v="TX501435"/>
        <s v="TX501436"/>
        <s v="TX501437"/>
        <s v="TX501438"/>
        <s v="TX501439"/>
        <s v="TX501440"/>
        <s v="TX501441"/>
        <s v="TX501442"/>
        <s v="TX501443"/>
        <s v="TX501444"/>
        <s v="TX501445"/>
        <s v="TX501446"/>
        <s v="TX501447"/>
        <s v="TX501448"/>
        <s v="TX501449"/>
        <s v="TX501450"/>
        <s v="TX501451"/>
        <s v="TX501452"/>
        <s v="TX501453"/>
        <s v="TX501454"/>
        <s v="TX501455"/>
        <s v="TX501456"/>
        <s v="TX501457"/>
        <s v="TX501458"/>
        <s v="TX501459"/>
        <s v="TX501460"/>
        <s v="TX501461"/>
        <s v="TX501462"/>
        <s v="TX501463"/>
        <s v="TX501464"/>
        <s v="TX501465"/>
        <s v="TX501466"/>
        <s v="TX501467"/>
        <s v="TX501468"/>
        <s v="TX501469"/>
        <s v="TX501470"/>
        <s v="TX501471"/>
        <s v="TX501472"/>
        <s v="TX501473"/>
        <s v="TX501474"/>
        <s v="TX501475"/>
        <s v="TX501476"/>
        <s v="TX501477"/>
        <s v="TX501478"/>
        <s v="TX501479"/>
        <s v="TX501480"/>
        <s v="TX501481"/>
        <s v="TX501482"/>
        <s v="TX501483"/>
        <s v="TX501484"/>
        <s v="TX501485"/>
        <s v="TX501486"/>
        <s v="TX501487"/>
        <s v="TX501488"/>
        <s v="TX501489"/>
        <s v="TX501490"/>
        <s v="TX501491"/>
        <s v="TX501492"/>
        <s v="TX501493"/>
        <s v="TX501494"/>
        <s v="TX501495"/>
        <s v="TX501496"/>
        <s v="TX501497"/>
        <s v="TX501498"/>
        <s v="TX501499"/>
        <s v="TX501500"/>
        <s v="TX501501"/>
        <s v="TX501502"/>
        <s v="TX501503"/>
        <s v="TX501504"/>
        <s v="TX501505"/>
        <s v="TX501506"/>
        <s v="TX501507"/>
        <s v="TX501508"/>
        <s v="TX501509"/>
        <s v="TX501510"/>
        <s v="TX501511"/>
        <s v="TX501512"/>
        <s v="TX501513"/>
        <s v="TX501514"/>
        <s v="TX501515"/>
        <s v="TX501516"/>
        <s v="TX501517"/>
        <s v="TX501518"/>
        <s v="TX501519"/>
        <s v="TX501520"/>
        <s v="TX501521"/>
        <s v="TX501522"/>
        <s v="TX501523"/>
        <s v="TX501524"/>
        <s v="TX501525"/>
        <s v="TX501526"/>
        <s v="TX501527"/>
        <s v="TX501528"/>
        <s v="TX501529"/>
        <s v="TX501530"/>
        <s v="TX501531"/>
        <s v="TX501532"/>
        <s v="TX501533"/>
        <s v="TX501534"/>
        <s v="TX501535"/>
        <s v="TX501536"/>
        <s v="TX501537"/>
        <s v="TX501538"/>
        <s v="TX501539"/>
        <s v="TX501540"/>
        <s v="TX501541"/>
        <s v="TX501542"/>
        <s v="TX501543"/>
        <s v="TX501544"/>
        <s v="TX501545"/>
        <s v="TX501546"/>
        <s v="TX501547"/>
        <s v="TX501548"/>
        <s v="TX501549"/>
        <s v="TX501550"/>
        <s v="TX501551"/>
        <s v="TX501552"/>
        <s v="TX501553"/>
        <s v="TX501554"/>
        <s v="TX501555"/>
        <s v="TX501556"/>
        <s v="TX501557"/>
        <s v="TX501558"/>
        <s v="TX501559"/>
        <s v="TX501560"/>
        <s v="TX501561"/>
        <s v="TX501562"/>
        <s v="TX501563"/>
        <s v="TX501564"/>
        <s v="TX501565"/>
        <s v="TX501566"/>
        <s v="TX501567"/>
        <s v="TX501568"/>
        <s v="TX501569"/>
        <s v="TX501570"/>
        <s v="TX501571"/>
        <s v="TX501572"/>
        <s v="TX501573"/>
        <s v="TX501574"/>
        <s v="TX501575"/>
        <s v="TX501576"/>
        <s v="TX501577"/>
        <s v="TX501578"/>
        <s v="TX501579"/>
        <s v="TX501580"/>
        <s v="TX501581"/>
        <s v="TX501582"/>
        <s v="TX501583"/>
        <s v="TX501584"/>
        <s v="TX501585"/>
        <s v="TX501586"/>
        <s v="TX501587"/>
        <s v="TX501588"/>
        <s v="TX501589"/>
        <s v="TX501590"/>
        <s v="TX501591"/>
        <s v="TX501592"/>
        <s v="TX501593"/>
        <s v="TX501594"/>
        <s v="TX501595"/>
        <s v="TX501596"/>
        <s v="TX501597"/>
        <s v="TX501598"/>
        <s v="TX501599"/>
        <s v="TX501600"/>
        <s v="TX501601"/>
        <s v="TX501602"/>
        <s v="TX501603"/>
        <s v="TX501604"/>
        <s v="TX501605"/>
        <s v="TX501606"/>
        <s v="TX501607"/>
        <s v="TX501608"/>
        <s v="TX501609"/>
        <s v="TX501610"/>
        <s v="TX501611"/>
        <s v="TX501612"/>
        <s v="TX501613"/>
        <s v="TX501614"/>
        <s v="TX501615"/>
        <s v="TX501616"/>
        <s v="TX501617"/>
        <s v="TX501618"/>
        <s v="TX501619"/>
        <s v="TX501620"/>
        <s v="TX501621"/>
        <s v="TX501622"/>
        <s v="TX501623"/>
        <s v="TX501624"/>
        <s v="TX501625"/>
        <s v="TX501626"/>
        <s v="TX501627"/>
        <s v="TX501628"/>
        <s v="TX501629"/>
        <s v="TX501630"/>
        <s v="TX501631"/>
        <s v="TX501632"/>
        <s v="TX501633"/>
        <s v="TX501634"/>
        <s v="TX501635"/>
        <s v="TX501636"/>
        <s v="TX501637"/>
        <s v="TX501638"/>
        <s v="TX501639"/>
        <s v="TX501640"/>
        <s v="TX501641"/>
        <s v="TX501642"/>
        <s v="TX501643"/>
        <s v="TX501644"/>
        <s v="TX501645"/>
        <s v="TX501646"/>
        <s v="TX501647"/>
        <s v="TX501648"/>
        <s v="TX501649"/>
        <s v="TX501650"/>
        <s v="TX501651"/>
        <s v="TX501652"/>
        <s v="TX501653"/>
        <s v="TX501654"/>
        <s v="TX501655"/>
        <s v="TX501656"/>
        <s v="TX501657"/>
        <s v="TX501658"/>
        <s v="TX501659"/>
        <s v="TX501660"/>
        <s v="TX501661"/>
        <s v="TX501662"/>
        <s v="TX501663"/>
        <s v="TX501664"/>
        <s v="TX501665"/>
        <s v="TX501666"/>
        <s v="TX501667"/>
        <s v="TX501668"/>
        <s v="TX501669"/>
        <s v="TX501670"/>
        <s v="TX501671"/>
        <s v="TX501672"/>
        <s v="TX501673"/>
        <s v="TX501674"/>
        <s v="TX501675"/>
        <s v="TX501676"/>
        <s v="TX501677"/>
        <s v="TX501678"/>
        <s v="TX501679"/>
        <s v="TX501680"/>
        <s v="TX501681"/>
        <s v="TX501682"/>
        <s v="TX501683"/>
        <s v="TX501684"/>
        <s v="TX501685"/>
        <s v="TX501686"/>
        <s v="TX501687"/>
        <s v="TX501688"/>
        <s v="TX501689"/>
        <s v="TX501690"/>
        <s v="TX501691"/>
        <s v="TX501692"/>
        <s v="TX501693"/>
        <s v="TX501694"/>
        <s v="TX501695"/>
        <s v="TX501696"/>
        <s v="TX501697"/>
        <s v="TX501698"/>
        <s v="TX501699"/>
        <s v="TX501700"/>
        <s v="TX501701"/>
        <s v="TX501702"/>
        <s v="TX501703"/>
        <s v="TX501704"/>
        <s v="TX501705"/>
        <s v="TX501706"/>
        <s v="TX501707"/>
        <s v="TX501708"/>
        <s v="TX501709"/>
        <s v="TX501710"/>
        <s v="TX501711"/>
        <s v="TX501712"/>
        <s v="TX501713"/>
        <s v="TX501714"/>
        <s v="TX501715"/>
        <s v="TX501716"/>
        <s v="TX501717"/>
        <s v="TX501718"/>
        <s v="TX501719"/>
        <s v="TX501720"/>
        <s v="TX501721"/>
        <s v="TX501722"/>
        <s v="TX501723"/>
        <s v="TX501724"/>
        <s v="TX501725"/>
        <s v="TX501726"/>
        <s v="TX501727"/>
        <s v="TX501728"/>
        <s v="TX501729"/>
        <s v="TX501730"/>
        <s v="TX501731"/>
        <s v="TX501732"/>
        <s v="TX501733"/>
        <s v="TX501734"/>
        <s v="TX501735"/>
        <s v="TX501736"/>
        <s v="TX501737"/>
        <s v="TX501738"/>
        <s v="TX501739"/>
        <s v="TX501740"/>
        <s v="TX501741"/>
        <s v="TX501742"/>
        <s v="TX501743"/>
        <s v="TX501744"/>
        <s v="TX501745"/>
        <s v="TX501746"/>
        <s v="TX501747"/>
        <s v="TX501748"/>
        <s v="TX501749"/>
        <s v="TX501750"/>
        <s v="TX501751"/>
        <s v="TX501752"/>
        <s v="TX501753"/>
        <s v="TX501754"/>
        <s v="TX501755"/>
        <s v="TX501756"/>
        <s v="TX501757"/>
        <s v="TX501758"/>
        <s v="TX501759"/>
        <s v="TX501760"/>
        <s v="TX501761"/>
        <s v="TX501762"/>
        <s v="TX501763"/>
        <s v="TX501764"/>
        <s v="TX501765"/>
        <s v="TX501766"/>
        <s v="TX501767"/>
        <s v="TX501768"/>
        <s v="TX501769"/>
        <s v="TX501770"/>
        <s v="TX501771"/>
        <s v="TX501772"/>
        <s v="TX501773"/>
        <s v="TX501774"/>
        <s v="TX501775"/>
        <s v="TX501776"/>
        <s v="TX501777"/>
        <s v="TX501778"/>
        <s v="TX501779"/>
        <s v="TX501780"/>
        <s v="TX501781"/>
        <s v="TX501782"/>
        <s v="TX501783"/>
        <s v="TX501784"/>
        <s v="TX501785"/>
        <s v="TX501786"/>
        <s v="TX501787"/>
        <s v="TX501788"/>
        <s v="TX501789"/>
        <s v="TX501790"/>
        <s v="TX501791"/>
        <s v="TX501792"/>
        <s v="TX501793"/>
        <s v="TX501794"/>
        <s v="TX501795"/>
        <s v="TX501796"/>
        <s v="TX501797"/>
        <s v="TX501798"/>
        <s v="TX501799"/>
        <s v="TX501800"/>
        <s v="TX501801"/>
        <s v="TX501802"/>
        <s v="TX501803"/>
        <s v="TX501804"/>
        <s v="TX501805"/>
        <s v="TX501806"/>
        <s v="TX501807"/>
        <s v="TX501808"/>
        <s v="TX501809"/>
        <s v="TX501810"/>
        <s v="TX501811"/>
        <s v="TX501812"/>
        <s v="TX501813"/>
        <s v="TX501814"/>
        <s v="TX501815"/>
        <s v="TX501816"/>
        <s v="TX501817"/>
        <s v="TX501818"/>
        <s v="TX501819"/>
        <s v="TX501820"/>
        <s v="TX501821"/>
        <s v="TX501822"/>
        <s v="TX501823"/>
        <s v="TX501824"/>
        <s v="TX501825"/>
        <s v="TX501826"/>
        <s v="TX501827"/>
        <s v="TX501828"/>
        <s v="TX501829"/>
        <s v="TX501830"/>
        <s v="TX501831"/>
        <s v="TX501832"/>
        <s v="TX501833"/>
        <s v="TX501834"/>
        <s v="TX501835"/>
        <s v="TX501836"/>
        <s v="TX501837"/>
        <s v="TX501838"/>
        <s v="TX501839"/>
        <s v="TX501840"/>
        <s v="TX501841"/>
        <s v="TX501842"/>
        <s v="TX501843"/>
        <s v="TX501844"/>
        <s v="TX501845"/>
        <s v="TX501846"/>
        <s v="TX501847"/>
        <s v="TX501848"/>
        <s v="TX501849"/>
        <s v="TX501850"/>
        <s v="TX501851"/>
        <s v="TX501852"/>
        <s v="TX501853"/>
        <s v="TX501854"/>
        <s v="TX501855"/>
        <s v="TX501856"/>
        <s v="TX501857"/>
        <s v="TX501858"/>
        <s v="TX501859"/>
        <s v="TX501860"/>
        <s v="TX501861"/>
        <s v="TX501862"/>
        <s v="TX501863"/>
        <s v="TX501864"/>
        <s v="TX501865"/>
        <s v="TX501866"/>
        <s v="TX501867"/>
        <s v="TX501868"/>
        <s v="TX501869"/>
        <s v="TX501870"/>
        <s v="TX501871"/>
        <s v="TX501872"/>
        <s v="TX501873"/>
        <s v="TX501874"/>
        <s v="TX501875"/>
        <s v="TX501876"/>
        <s v="TX501877"/>
        <s v="TX501878"/>
        <s v="TX501879"/>
        <s v="TX501880"/>
        <s v="TX501881"/>
        <s v="TX501882"/>
        <s v="TX501883"/>
        <s v="TX501884"/>
        <s v="TX501885"/>
        <s v="TX501886"/>
        <s v="TX501887"/>
        <s v="TX501888"/>
        <s v="TX501889"/>
        <s v="TX501890"/>
        <s v="TX501891"/>
        <s v="TX501892"/>
        <s v="TX501893"/>
        <s v="TX501894"/>
        <s v="TX501895"/>
        <s v="TX501896"/>
        <s v="TX501897"/>
        <s v="TX501898"/>
        <s v="TX501899"/>
        <s v="TX501900"/>
        <s v="TX501901"/>
        <s v="TX501902"/>
        <s v="TX501903"/>
        <s v="TX501904"/>
        <s v="TX501905"/>
        <s v="TX501906"/>
        <s v="TX501907"/>
        <s v="TX501908"/>
        <s v="TX501909"/>
        <s v="TX501910"/>
        <s v="TX501911"/>
        <s v="TX501912"/>
        <s v="TX501913"/>
        <s v="TX501914"/>
        <s v="TX501915"/>
        <s v="TX501916"/>
        <s v="TX501917"/>
        <s v="TX501918"/>
        <s v="TX501919"/>
        <s v="TX501920"/>
        <s v="TX501921"/>
        <s v="TX501922"/>
        <s v="TX501923"/>
        <s v="TX501924"/>
        <s v="TX501925"/>
        <s v="TX501926"/>
        <s v="TX501927"/>
        <s v="TX501928"/>
        <s v="TX501929"/>
        <s v="TX501930"/>
        <s v="TX501931"/>
        <s v="TX501932"/>
        <s v="TX501933"/>
        <s v="TX501934"/>
        <s v="TX501935"/>
        <s v="TX501936"/>
        <s v="TX501937"/>
        <s v="TX501938"/>
        <s v="TX501939"/>
        <s v="TX501940"/>
        <s v="TX501941"/>
        <s v="TX501942"/>
        <s v="TX501943"/>
        <s v="TX501944"/>
        <s v="TX501945"/>
        <s v="TX501946"/>
        <s v="TX501947"/>
        <s v="TX501948"/>
        <s v="TX501949"/>
        <s v="TX501950"/>
        <s v="TX501951"/>
        <s v="TX501952"/>
        <s v="TX501953"/>
        <s v="TX501954"/>
        <s v="TX501955"/>
        <s v="TX501956"/>
        <s v="TX501957"/>
        <s v="TX501958"/>
        <s v="TX501959"/>
        <s v="TX501960"/>
        <s v="TX501961"/>
        <s v="TX501962"/>
        <s v="TX501963"/>
        <s v="TX501964"/>
        <s v="TX501965"/>
        <s v="TX501966"/>
        <s v="TX501967"/>
        <s v="TX501968"/>
        <s v="TX501969"/>
        <s v="TX501970"/>
        <s v="TX501971"/>
        <s v="TX501972"/>
        <s v="TX501973"/>
        <s v="TX501974"/>
        <s v="TX501975"/>
        <s v="TX501976"/>
        <s v="TX501977"/>
        <s v="TX501978"/>
        <s v="TX501979"/>
        <s v="TX501980"/>
        <s v="TX501981"/>
        <s v="TX501982"/>
        <s v="TX501983"/>
        <s v="TX501984"/>
        <s v="TX501985"/>
        <s v="TX501986"/>
        <s v="TX501987"/>
        <s v="TX501988"/>
        <s v="TX501989"/>
        <s v="TX501990"/>
        <s v="TX501991"/>
        <s v="TX501992"/>
        <s v="TX501993"/>
        <s v="TX501994"/>
        <s v="TX501995"/>
        <s v="TX501996"/>
        <s v="TX501997"/>
        <s v="TX501998"/>
        <s v="TX501999"/>
        <s v="TX502000"/>
        <s v="TX502001"/>
        <s v="TX502002"/>
        <s v="TX502003"/>
        <s v="TX502004"/>
        <s v="TX502005"/>
        <s v="TX502006"/>
        <s v="TX502007"/>
        <s v="TX502008"/>
        <s v="TX502009"/>
        <s v="TX502010"/>
        <s v="TX502011"/>
        <s v="TX502012"/>
        <s v="TX502013"/>
        <s v="TX502014"/>
        <s v="TX502015"/>
        <s v="TX502016"/>
        <s v="TX502017"/>
        <s v="TX502018"/>
        <s v="TX502019"/>
        <s v="TX502020"/>
        <s v="TX502021"/>
        <s v="TX502022"/>
        <s v="TX502023"/>
        <s v="TX502024"/>
        <s v="TX502025"/>
        <s v="TX502026"/>
        <s v="TX502027"/>
        <s v="TX502028"/>
        <s v="TX502029"/>
        <s v="TX502030"/>
        <s v="TX502031"/>
        <s v="TX502032"/>
        <s v="TX502033"/>
        <s v="TX502034"/>
        <s v="TX502035"/>
        <s v="TX502036"/>
        <s v="TX502037"/>
        <s v="TX502038"/>
        <s v="TX502039"/>
        <s v="TX502040"/>
        <s v="TX502041"/>
        <s v="TX502042"/>
        <s v="TX502043"/>
        <s v="TX502044"/>
        <s v="TX502045"/>
        <s v="TX502046"/>
        <s v="TX502047"/>
        <s v="TX502048"/>
        <s v="TX502049"/>
        <s v="TX502050"/>
        <s v="TX502051"/>
        <s v="TX502052"/>
        <s v="TX502053"/>
        <s v="TX502054"/>
        <s v="TX502055"/>
        <s v="TX502056"/>
        <s v="TX502057"/>
        <s v="TX502058"/>
        <s v="TX502059"/>
        <s v="TX502060"/>
        <s v="TX502061"/>
        <s v="TX502062"/>
        <s v="TX502063"/>
        <s v="TX502064"/>
        <s v="TX502065"/>
        <s v="TX502066"/>
        <s v="TX502067"/>
        <s v="TX502068"/>
        <s v="TX502069"/>
        <s v="TX502070"/>
        <s v="TX502071"/>
        <s v="TX502072"/>
        <s v="TX502073"/>
        <s v="TX502074"/>
        <s v="TX502075"/>
        <s v="TX502076"/>
        <s v="TX502077"/>
        <s v="TX502078"/>
        <s v="TX502079"/>
        <s v="TX502080"/>
        <s v="TX502081"/>
        <s v="TX502082"/>
        <s v="TX502083"/>
        <s v="TX502084"/>
        <s v="TX502085"/>
        <s v="TX502086"/>
        <s v="TX502087"/>
        <s v="TX502088"/>
        <s v="TX502089"/>
        <s v="TX502090"/>
        <s v="TX502091"/>
        <s v="TX502092"/>
        <s v="TX502093"/>
        <s v="TX502094"/>
        <s v="TX502095"/>
        <s v="TX502096"/>
        <s v="TX502097"/>
        <s v="TX502098"/>
        <s v="TX502099"/>
        <s v="TX502100"/>
        <s v="TX502101"/>
        <s v="TX502102"/>
        <s v="TX502103"/>
        <s v="TX502104"/>
        <s v="TX502105"/>
        <s v="TX502106"/>
        <s v="TX502107"/>
        <s v="TX502108"/>
        <s v="TX502109"/>
        <s v="TX502110"/>
        <s v="TX502111"/>
        <s v="TX502112"/>
        <s v="TX502113"/>
        <s v="TX502114"/>
        <s v="TX502115"/>
        <s v="TX502116"/>
        <s v="TX502117"/>
        <s v="TX502118"/>
        <s v="TX502119"/>
        <s v="TX502120"/>
        <s v="TX502121"/>
        <s v="TX502122"/>
        <s v="TX502123"/>
        <s v="TX502124"/>
        <s v="TX502125"/>
        <s v="TX502126"/>
        <s v="TX502127"/>
        <s v="TX502128"/>
        <s v="TX502129"/>
        <s v="TX502130"/>
        <s v="TX502131"/>
        <s v="TX502132"/>
        <s v="TX502133"/>
        <s v="TX502134"/>
        <s v="TX502135"/>
        <s v="TX502136"/>
        <s v="TX502137"/>
        <s v="TX502138"/>
        <s v="TX502139"/>
        <s v="TX502140"/>
        <s v="TX502141"/>
        <s v="TX502142"/>
        <s v="TX502143"/>
        <s v="TX502144"/>
        <s v="TX502145"/>
        <s v="TX502146"/>
        <s v="TX502147"/>
        <s v="TX502148"/>
        <s v="TX502149"/>
        <s v="TX502150"/>
        <s v="TX502151"/>
        <s v="TX502152"/>
        <s v="TX502153"/>
        <s v="TX502154"/>
        <s v="TX502155"/>
        <s v="TX502156"/>
        <s v="TX502157"/>
        <s v="TX502158"/>
        <s v="TX502159"/>
        <s v="TX502160"/>
        <s v="TX502161"/>
        <s v="TX502162"/>
        <s v="TX502163"/>
        <s v="TX502164"/>
        <s v="TX502165"/>
        <s v="TX502166"/>
        <s v="TX502167"/>
        <s v="TX502168"/>
        <s v="TX502169"/>
        <s v="TX502170"/>
        <s v="TX502171"/>
        <s v="TX502172"/>
        <s v="TX502173"/>
        <s v="TX502174"/>
        <s v="TX502175"/>
        <s v="TX502176"/>
        <s v="TX502177"/>
        <s v="TX502178"/>
        <s v="TX502179"/>
        <s v="TX502180"/>
        <s v="TX502181"/>
        <s v="TX502182"/>
        <s v="TX502183"/>
        <s v="TX502184"/>
        <s v="TX502185"/>
        <s v="TX502186"/>
        <s v="TX502187"/>
        <s v="TX502188"/>
        <s v="TX502189"/>
        <s v="TX502190"/>
        <s v="TX502191"/>
        <s v="TX502192"/>
        <s v="TX502193"/>
        <s v="TX502194"/>
        <s v="TX502195"/>
        <s v="TX502196"/>
        <s v="TX502197"/>
        <s v="TX502198"/>
        <s v="TX502199"/>
        <s v="TX502200"/>
        <s v="TX502201"/>
        <s v="TX502202"/>
        <s v="TX502203"/>
        <s v="TX502204"/>
        <s v="TX502205"/>
        <s v="TX502206"/>
        <s v="TX502207"/>
        <s v="TX502208"/>
        <s v="TX502209"/>
        <s v="TX502210"/>
        <s v="TX502211"/>
        <s v="TX502212"/>
        <s v="TX502213"/>
        <s v="TX502214"/>
        <s v="TX502215"/>
        <s v="TX502216"/>
        <s v="TX502217"/>
        <s v="TX502218"/>
        <s v="TX502219"/>
        <s v="TX502220"/>
        <s v="TX502221"/>
        <s v="TX502222"/>
        <s v="TX502223"/>
        <s v="TX502224"/>
        <s v="TX502225"/>
        <s v="TX502226"/>
        <s v="TX502227"/>
        <s v="TX502228"/>
        <s v="TX502229"/>
        <s v="TX502230"/>
        <s v="TX502231"/>
        <s v="TX502232"/>
        <s v="TX502233"/>
        <s v="TX502234"/>
        <s v="TX502235"/>
        <s v="TX502236"/>
        <s v="TX502237"/>
        <s v="TX502238"/>
        <s v="TX502239"/>
        <s v="TX502240"/>
        <s v="TX502241"/>
        <s v="TX502242"/>
        <s v="TX502243"/>
        <s v="TX502244"/>
        <s v="TX502245"/>
        <s v="TX502246"/>
        <s v="TX502247"/>
        <s v="TX502248"/>
        <s v="TX502249"/>
        <s v="TX502250"/>
        <s v="TX502251"/>
        <s v="TX502252"/>
        <s v="TX502253"/>
        <s v="TX502254"/>
        <s v="TX502255"/>
        <s v="TX502256"/>
        <s v="TX502257"/>
        <s v="TX502258"/>
        <s v="TX502259"/>
        <s v="TX502260"/>
        <s v="TX502261"/>
        <s v="TX502262"/>
        <s v="TX502263"/>
        <s v="TX502264"/>
        <s v="TX502265"/>
        <s v="TX502266"/>
        <s v="TX502267"/>
        <s v="TX502268"/>
        <s v="TX502269"/>
        <s v="TX502270"/>
        <s v="TX502271"/>
        <s v="TX502272"/>
        <s v="TX502273"/>
        <s v="TX502274"/>
        <s v="TX502275"/>
        <s v="TX502276"/>
        <s v="TX502277"/>
        <s v="TX502278"/>
        <s v="TX502279"/>
        <s v="TX502280"/>
        <s v="TX502281"/>
        <s v="TX502282"/>
        <s v="TX502283"/>
        <s v="TX502284"/>
        <s v="TX502285"/>
        <s v="TX502286"/>
        <s v="TX502287"/>
        <s v="TX502288"/>
        <s v="TX502289"/>
        <s v="TX502290"/>
        <s v="TX502291"/>
        <s v="TX502292"/>
        <s v="TX502293"/>
        <s v="TX502294"/>
        <s v="TX502295"/>
        <s v="TX502296"/>
        <s v="TX502297"/>
        <s v="TX502298"/>
        <s v="TX502299"/>
        <s v="TX502300"/>
        <s v="TX502301"/>
        <s v="TX502302"/>
        <s v="TX502303"/>
        <s v="TX502304"/>
        <s v="TX502305"/>
        <s v="TX502306"/>
        <s v="TX502307"/>
        <s v="TX502308"/>
        <s v="TX502309"/>
        <s v="TX502310"/>
        <s v="TX502311"/>
        <s v="TX502312"/>
        <s v="TX502313"/>
        <s v="TX502314"/>
        <s v="TX502315"/>
        <s v="TX502316"/>
        <s v="TX502317"/>
        <s v="TX502318"/>
        <s v="TX502319"/>
        <s v="TX502320"/>
        <s v="TX502321"/>
        <s v="TX502322"/>
        <s v="TX502323"/>
        <s v="TX502324"/>
        <s v="TX502325"/>
        <s v="TX502326"/>
        <s v="TX502327"/>
        <s v="TX502328"/>
        <s v="TX502329"/>
        <s v="TX502330"/>
        <s v="TX502331"/>
        <s v="TX502332"/>
        <s v="TX502333"/>
        <s v="TX502334"/>
        <s v="TX502335"/>
        <s v="TX502336"/>
        <s v="TX502337"/>
        <s v="TX502338"/>
        <s v="TX502339"/>
        <s v="TX502340"/>
        <s v="TX502341"/>
        <s v="TX502342"/>
        <s v="TX502343"/>
        <s v="TX502344"/>
        <s v="TX502345"/>
        <s v="TX502346"/>
        <s v="TX502347"/>
        <s v="TX502348"/>
        <s v="TX502349"/>
        <s v="TX502350"/>
        <s v="TX502351"/>
        <s v="TX502352"/>
        <s v="TX502353"/>
        <s v="TX502354"/>
        <s v="TX502355"/>
        <s v="TX502356"/>
        <s v="TX502357"/>
        <s v="TX502358"/>
        <s v="TX502359"/>
        <s v="TX502360"/>
        <s v="TX502361"/>
        <s v="TX502362"/>
        <s v="TX502363"/>
        <s v="TX502364"/>
        <s v="TX502365"/>
        <s v="TX502366"/>
        <s v="TX502367"/>
        <s v="TX502368"/>
        <s v="TX502369"/>
        <s v="TX502370"/>
        <s v="TX502371"/>
        <s v="TX502372"/>
        <s v="TX502373"/>
        <s v="TX502374"/>
        <s v="TX502375"/>
        <s v="TX502376"/>
        <s v="TX502377"/>
        <s v="TX502378"/>
        <s v="TX502379"/>
        <s v="TX502380"/>
        <s v="TX502381"/>
        <s v="TX502382"/>
        <s v="TX502383"/>
        <s v="TX502384"/>
        <s v="TX502385"/>
        <s v="TX502386"/>
        <s v="TX502387"/>
        <s v="TX502388"/>
        <s v="TX502389"/>
        <s v="TX502390"/>
        <s v="TX502391"/>
        <s v="TX502392"/>
        <s v="TX502393"/>
        <s v="TX502394"/>
        <s v="TX502395"/>
        <s v="TX502396"/>
        <s v="TX502397"/>
        <s v="TX502398"/>
        <s v="TX502399"/>
        <s v="TX502400"/>
      </sharedItems>
    </cacheField>
    <cacheField name="Product" numFmtId="0">
      <sharedItems count="20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</sharedItems>
    </cacheField>
    <cacheField name="Quantity" numFmtId="0">
      <sharedItems containsSemiMixedTypes="0" containsString="0" containsNumber="1" containsInteger="1" minValue="1" maxValue="87" count="48">
        <n v="1"/>
        <n v="2"/>
        <n v="3"/>
        <n v="7"/>
        <n v="12"/>
        <n v="11"/>
        <n v="27"/>
        <n v="10"/>
        <n v="8"/>
        <n v="5"/>
        <n v="19"/>
        <n v="9"/>
        <n v="4"/>
        <n v="6"/>
        <n v="17"/>
        <n v="13"/>
        <n v="18"/>
        <n v="30"/>
        <n v="26"/>
        <n v="29"/>
        <n v="15"/>
        <n v="14"/>
        <n v="62"/>
        <n v="43"/>
        <n v="41"/>
        <n v="24"/>
        <n v="49"/>
        <n v="16"/>
        <n v="20"/>
        <n v="40"/>
        <n v="25"/>
        <n v="28"/>
        <n v="22"/>
        <n v="34"/>
        <n v="36"/>
        <n v="47"/>
        <n v="35"/>
        <n v="31"/>
        <n v="21"/>
        <n v="42"/>
        <n v="33"/>
        <n v="45"/>
        <n v="63"/>
        <n v="38"/>
        <n v="23"/>
        <n v="87"/>
        <n v="32"/>
        <n v="70"/>
      </sharedItems>
    </cacheField>
    <cacheField name="Unit Price" numFmtId="0">
      <sharedItems containsSemiMixedTypes="0" containsString="0" containsNumber="1" minValue="10.199999999999999" maxValue="234.7" count="934">
        <n v="10.9"/>
        <n v="30.6"/>
        <n v="109.4"/>
        <n v="37.700000000000003"/>
        <n v="56.7"/>
        <n v="83.5"/>
        <n v="55.3"/>
        <n v="40.299999999999997"/>
        <n v="35.700000000000003"/>
        <n v="22.4"/>
        <n v="54.4"/>
        <n v="49"/>
        <n v="118.6"/>
        <n v="88.4"/>
        <n v="66.7"/>
        <n v="30.9"/>
        <n v="31.1"/>
        <n v="36.6"/>
        <n v="51.1"/>
        <n v="25.2"/>
        <n v="43.8"/>
        <n v="46.7"/>
        <n v="79.900000000000006"/>
        <n v="26.4"/>
        <n v="88.8"/>
        <n v="17.5"/>
        <n v="38.700000000000003"/>
        <n v="57.2"/>
        <n v="50.9"/>
        <n v="41"/>
        <n v="19.100000000000001"/>
        <n v="166.1"/>
        <n v="29.9"/>
        <n v="21.7"/>
        <n v="32"/>
        <n v="15.8"/>
        <n v="203.1"/>
        <n v="39"/>
        <n v="26.5"/>
        <n v="43.1"/>
        <n v="139"/>
        <n v="80.7"/>
        <n v="54.5"/>
        <n v="68.599999999999994"/>
        <n v="135.9"/>
        <n v="70.900000000000006"/>
        <n v="63.7"/>
        <n v="29.7"/>
        <n v="26.8"/>
        <n v="27"/>
        <n v="41.4"/>
        <n v="24.3"/>
        <n v="41.7"/>
        <n v="18"/>
        <n v="91.3"/>
        <n v="19.3"/>
        <n v="63.2"/>
        <n v="33.299999999999997"/>
        <n v="64.2"/>
        <n v="23.1"/>
        <n v="71.099999999999994"/>
        <n v="11.5"/>
        <n v="69.2"/>
        <n v="31.2"/>
        <n v="113.2"/>
        <n v="21"/>
        <n v="89.1"/>
        <n v="97.7"/>
        <n v="47.4"/>
        <n v="89.6"/>
        <n v="28.4"/>
        <n v="17.899999999999999"/>
        <n v="48.4"/>
        <n v="44.4"/>
        <n v="103.7"/>
        <n v="58.6"/>
        <n v="54.8"/>
        <n v="78.8"/>
        <n v="36.799999999999997"/>
        <n v="50.6"/>
        <n v="41.8"/>
        <n v="77.3"/>
        <n v="19.8"/>
        <n v="15.5"/>
        <n v="46.8"/>
        <n v="28.6"/>
        <n v="54.7"/>
        <n v="130.5"/>
        <n v="50.4"/>
        <n v="61.5"/>
        <n v="30.1"/>
        <n v="74.8"/>
        <n v="64.900000000000006"/>
        <n v="50.5"/>
        <n v="63"/>
        <n v="93.6"/>
        <n v="160"/>
        <n v="10.5"/>
        <n v="53"/>
        <n v="18.5"/>
        <n v="84.5"/>
        <n v="32.6"/>
        <n v="45.4"/>
        <n v="120"/>
        <n v="18.899999999999999"/>
        <n v="37.299999999999997"/>
        <n v="119.8"/>
        <n v="76.5"/>
        <n v="45.7"/>
        <n v="92.6"/>
        <n v="60.1"/>
        <n v="73"/>
        <n v="44.3"/>
        <n v="63.3"/>
        <n v="66.8"/>
        <n v="59.7"/>
        <n v="92"/>
        <n v="87.6"/>
        <n v="116.3"/>
        <n v="52.7"/>
        <n v="34.200000000000003"/>
        <n v="23.3"/>
        <n v="25.9"/>
        <n v="54.9"/>
        <n v="75.8"/>
        <n v="44.9"/>
        <n v="48.8"/>
        <n v="20.3"/>
        <n v="36.4"/>
        <n v="19"/>
        <n v="17.8"/>
        <n v="139.6"/>
        <n v="31.7"/>
        <n v="26.3"/>
        <n v="47.8"/>
        <n v="69.400000000000006"/>
        <n v="25.8"/>
        <n v="15.7"/>
        <n v="39.700000000000003"/>
        <n v="23.4"/>
        <n v="57.1"/>
        <n v="89.9"/>
        <n v="48.1"/>
        <n v="29.3"/>
        <n v="28.8"/>
        <n v="40.5"/>
        <n v="65.099999999999994"/>
        <n v="51.8"/>
        <n v="61.3"/>
        <n v="122.5"/>
        <n v="12.5"/>
        <n v="37.5"/>
        <n v="40"/>
        <n v="38.5"/>
        <n v="86.4"/>
        <n v="50.7"/>
        <n v="61"/>
        <n v="19.899999999999999"/>
        <n v="78.3"/>
        <n v="10.4"/>
        <n v="36.1"/>
        <n v="17.3"/>
        <n v="30.5"/>
        <n v="70.099999999999994"/>
        <n v="76.099999999999994"/>
        <n v="30.3"/>
        <n v="52.5"/>
        <n v="28.7"/>
        <n v="52"/>
        <n v="13.3"/>
        <n v="25.6"/>
        <n v="43.4"/>
        <n v="33.4"/>
        <n v="55"/>
        <n v="23.6"/>
        <n v="104"/>
        <n v="34.5"/>
        <n v="131.5"/>
        <n v="10.199999999999999"/>
        <n v="50.8"/>
        <n v="39.6"/>
        <n v="69.5"/>
        <n v="49.1"/>
        <n v="49.4"/>
        <n v="52.1"/>
        <n v="129.19999999999999"/>
        <n v="81.8"/>
        <n v="24.9"/>
        <n v="22.7"/>
        <n v="109.1"/>
        <n v="53.9"/>
        <n v="21.2"/>
        <n v="69"/>
        <n v="46.2"/>
        <n v="97.4"/>
        <n v="32.700000000000003"/>
        <n v="48"/>
        <n v="68.2"/>
        <n v="62.1"/>
        <n v="33.1"/>
        <n v="35.200000000000003"/>
        <n v="32.1"/>
        <n v="38.1"/>
        <n v="65.2"/>
        <n v="55.2"/>
        <n v="62"/>
        <n v="45.9"/>
        <n v="58.3"/>
        <n v="22.3"/>
        <n v="24"/>
        <n v="21.3"/>
        <n v="57.8"/>
        <n v="67.599999999999994"/>
        <n v="53.1"/>
        <n v="57.4"/>
        <n v="58.1"/>
        <n v="31.8"/>
        <n v="31.5"/>
        <n v="55.9"/>
        <n v="47.3"/>
        <n v="82.5"/>
        <n v="14.3"/>
        <n v="57.6"/>
        <n v="142.4"/>
        <n v="30.2"/>
        <n v="65.3"/>
        <n v="45.1"/>
        <n v="61.7"/>
        <n v="17.600000000000001"/>
        <n v="11.3"/>
        <n v="53.4"/>
        <n v="27.5"/>
        <n v="33.5"/>
        <n v="59.5"/>
        <n v="23.5"/>
        <n v="49.7"/>
        <n v="44.2"/>
        <n v="22.1"/>
        <n v="90.9"/>
        <n v="44.5"/>
        <n v="32.299999999999997"/>
        <n v="87.5"/>
        <n v="48.7"/>
        <n v="22.5"/>
        <n v="65.900000000000006"/>
        <n v="41.9"/>
        <n v="67.5"/>
        <n v="60.4"/>
        <n v="30.4"/>
        <n v="24.5"/>
        <n v="105.9"/>
        <n v="112.3"/>
        <n v="94.1"/>
        <n v="40.700000000000003"/>
        <n v="71.400000000000006"/>
        <n v="15.6"/>
        <n v="37.799999999999997"/>
        <n v="28.1"/>
        <n v="51.4"/>
        <n v="63.8"/>
        <n v="20.100000000000001"/>
        <n v="16.2"/>
        <n v="80.900000000000006"/>
        <n v="95.2"/>
        <n v="70.400000000000006"/>
        <n v="10.7"/>
        <n v="19.600000000000001"/>
        <n v="34.700000000000003"/>
        <n v="34.1"/>
        <n v="26"/>
        <n v="14.2"/>
        <n v="34.9"/>
        <n v="42.7"/>
        <n v="23.9"/>
        <n v="124.3"/>
        <n v="35.9"/>
        <n v="69.099999999999994"/>
        <n v="58.4"/>
        <n v="24.4"/>
        <n v="100"/>
        <n v="43"/>
        <n v="64.400000000000006"/>
        <n v="55.1"/>
        <n v="93.3"/>
        <n v="158.19999999999999"/>
        <n v="74.900000000000006"/>
        <n v="48.5"/>
        <n v="98.9"/>
        <n v="84.7"/>
        <n v="20.7"/>
        <n v="106.9"/>
        <n v="45.2"/>
        <n v="34.6"/>
        <n v="20.399999999999999"/>
        <n v="36.700000000000003"/>
        <n v="27.2"/>
        <n v="58.2"/>
        <n v="48.2"/>
        <n v="83.4"/>
        <n v="45.3"/>
        <n v="42"/>
        <n v="21.8"/>
        <n v="21.4"/>
        <n v="45"/>
        <n v="79.8"/>
        <n v="63.6"/>
        <n v="92.7"/>
        <n v="36"/>
        <n v="49.9"/>
        <n v="51.7"/>
        <n v="36.200000000000003"/>
        <n v="150.9"/>
        <n v="77.599999999999994"/>
        <n v="65.5"/>
        <n v="90.1"/>
        <n v="108.3"/>
        <n v="59.9"/>
        <n v="87.3"/>
        <n v="42.3"/>
        <n v="103.6"/>
        <n v="100.9"/>
        <n v="83.3"/>
        <n v="60.3"/>
        <n v="120.3"/>
        <n v="34"/>
        <n v="42.6"/>
        <n v="74"/>
        <n v="69.3"/>
        <n v="81"/>
        <n v="41.5"/>
        <n v="69.7"/>
        <n v="83.6"/>
        <n v="21.5"/>
        <n v="18.8"/>
        <n v="35.1"/>
        <n v="12.7"/>
        <n v="27.4"/>
        <n v="64.7"/>
        <n v="91.4"/>
        <n v="105.6"/>
        <n v="46.4"/>
        <n v="35.299999999999997"/>
        <n v="16.100000000000001"/>
        <n v="27.9"/>
        <n v="47.1"/>
        <n v="85"/>
        <n v="89"/>
        <n v="43.5"/>
        <n v="107.7"/>
        <n v="111.7"/>
        <n v="95.8"/>
        <n v="22.6"/>
        <n v="54.3"/>
        <n v="51.3"/>
        <n v="46.1"/>
        <n v="36.5"/>
        <n v="47.5"/>
        <n v="45.6"/>
        <n v="99.8"/>
        <n v="19.2"/>
        <n v="126.9"/>
        <n v="100.3"/>
        <n v="24.6"/>
        <n v="40.799999999999997"/>
        <n v="49.2"/>
        <n v="28.5"/>
        <n v="62.5"/>
        <n v="47.9"/>
        <n v="92.9"/>
        <n v="44.1"/>
        <n v="11.4"/>
        <n v="83.7"/>
        <n v="23.2"/>
        <n v="162.1"/>
        <n v="75.3"/>
        <n v="31.3"/>
        <n v="85.4"/>
        <n v="114.8"/>
        <n v="73.2"/>
        <n v="48.6"/>
        <n v="32.200000000000003"/>
        <n v="94.8"/>
        <n v="56.8"/>
        <n v="18.3"/>
        <n v="16.8"/>
        <n v="35.799999999999997"/>
        <n v="103.5"/>
        <n v="41.2"/>
        <n v="15.2"/>
        <n v="27.7"/>
        <n v="20.8"/>
        <n v="72.7"/>
        <n v="38.6"/>
        <n v="69.599999999999994"/>
        <n v="42.4"/>
        <n v="58.9"/>
        <n v="59.8"/>
        <n v="41.3"/>
        <n v="16"/>
        <n v="27.1"/>
        <n v="38.9"/>
        <n v="10.8"/>
        <n v="29.2"/>
        <n v="25.1"/>
        <n v="65.599999999999994"/>
        <n v="57.3"/>
        <n v="39.200000000000003"/>
        <n v="62.7"/>
        <n v="11.2"/>
        <n v="22.9"/>
        <n v="37.6"/>
        <n v="90.5"/>
        <n v="33.9"/>
        <n v="32.799999999999997"/>
        <n v="79.2"/>
        <n v="19.5"/>
        <n v="167.2"/>
        <n v="74.5"/>
        <n v="39.299999999999997"/>
        <n v="68.5"/>
        <n v="94"/>
        <n v="21.9"/>
        <n v="52.9"/>
        <n v="25.5"/>
        <n v="51.9"/>
        <n v="46.3"/>
        <n v="11.9"/>
        <n v="63.5"/>
        <n v="82.1"/>
        <n v="42.9"/>
        <n v="37.9"/>
        <n v="70.599999999999994"/>
        <n v="49.5"/>
        <n v="96.6"/>
        <n v="52.8"/>
        <n v="101.7"/>
        <n v="26.9"/>
        <n v="211"/>
        <n v="21.1"/>
        <n v="26.6"/>
        <n v="51.2"/>
        <n v="10.6"/>
        <n v="80"/>
        <n v="42.8"/>
        <n v="64.099999999999994"/>
        <n v="83.1"/>
        <n v="40.9"/>
        <n v="125.7"/>
        <n v="56.5"/>
        <n v="85.8"/>
        <n v="66.599999999999994"/>
        <n v="70.3"/>
        <n v="31"/>
        <n v="81.599999999999994"/>
        <n v="80.2"/>
        <n v="15.4"/>
        <n v="65.400000000000006"/>
        <n v="26.2"/>
        <n v="43.6"/>
        <n v="53.2"/>
        <n v="105.4"/>
        <n v="57.7"/>
        <n v="72.400000000000006"/>
        <n v="11.6"/>
        <n v="40.1"/>
        <n v="18.600000000000001"/>
        <n v="58.8"/>
        <n v="114.9"/>
        <n v="20.6"/>
        <n v="67.900000000000006"/>
        <n v="62.4"/>
        <n v="70.8"/>
        <n v="56.6"/>
        <n v="78.400000000000006"/>
        <n v="122.1"/>
        <n v="97.9"/>
        <n v="15"/>
        <n v="94.6"/>
        <n v="19.7"/>
        <n v="86.8"/>
        <n v="61.6"/>
        <n v="130.69999999999999"/>
        <n v="94.4"/>
        <n v="23.7"/>
        <n v="37.4"/>
        <n v="105"/>
        <n v="24.8"/>
        <n v="75"/>
        <n v="169.9"/>
        <n v="72.2"/>
        <n v="20"/>
        <n v="58"/>
        <n v="74.7"/>
        <n v="128.19999999999999"/>
        <n v="26.7"/>
        <n v="55.6"/>
        <n v="15.9"/>
        <n v="64.8"/>
        <n v="32.4"/>
        <n v="177.4"/>
        <n v="30"/>
        <n v="61.1"/>
        <n v="55.8"/>
        <n v="14.6"/>
        <n v="32.5"/>
        <n v="78.099999999999994"/>
        <n v="110.2"/>
        <n v="86.3"/>
        <n v="73.599999999999994"/>
        <n v="67.7"/>
        <n v="142.19999999999999"/>
        <n v="45.8"/>
        <n v="24.2"/>
        <n v="144.9"/>
        <n v="54.6"/>
        <n v="52.4"/>
        <n v="144.4"/>
        <n v="117.5"/>
        <n v="105.7"/>
        <n v="133.69999999999999"/>
        <n v="92.3"/>
        <n v="81.7"/>
        <n v="43.2"/>
        <n v="59.1"/>
        <n v="72.8"/>
        <n v="137.30000000000001"/>
        <n v="53.7"/>
        <n v="88.9"/>
        <n v="46.9"/>
        <n v="118.7"/>
        <n v="60.5"/>
        <n v="112"/>
        <n v="33.700000000000003"/>
        <n v="35.6"/>
        <n v="50.2"/>
        <n v="43.7"/>
        <n v="15.1"/>
        <n v="118.2"/>
        <n v="28.9"/>
        <n v="99.4"/>
        <n v="102.5"/>
        <n v="31.4"/>
        <n v="59.3"/>
        <n v="98.6"/>
        <n v="46"/>
        <n v="38"/>
        <n v="79.7"/>
        <n v="61.8"/>
        <n v="44"/>
        <n v="95.7"/>
        <n v="47.2"/>
        <n v="57"/>
        <n v="60.7"/>
        <n v="60.8"/>
        <n v="64.599999999999994"/>
        <n v="84.9"/>
        <n v="62.3"/>
        <n v="39.5"/>
        <n v="96"/>
        <n v="72.599999999999994"/>
        <n v="115.1"/>
        <n v="79"/>
        <n v="107.9"/>
        <n v="66.5"/>
        <n v="84.8"/>
        <n v="63.9"/>
        <n v="116.2"/>
        <n v="42.2"/>
        <n v="94.7"/>
        <n v="16.7"/>
        <n v="33.6"/>
        <n v="37"/>
        <n v="55.5"/>
        <n v="95.3"/>
        <n v="52.3"/>
        <n v="112.2"/>
        <n v="56.4"/>
        <n v="75.5"/>
        <n v="70.7"/>
        <n v="70"/>
        <n v="20.5"/>
        <n v="29.1"/>
        <n v="53.6"/>
        <n v="72.3"/>
        <n v="133.80000000000001"/>
        <n v="18.7"/>
        <n v="108.8"/>
        <n v="46.5"/>
        <n v="20.9"/>
        <n v="53.8"/>
        <n v="31.9"/>
        <n v="48.3"/>
        <n v="21.6"/>
        <n v="103"/>
        <n v="46.6"/>
        <n v="22"/>
        <n v="68.7"/>
        <n v="22.2"/>
        <n v="71.599999999999994"/>
        <n v="51.5"/>
        <n v="45.5"/>
        <n v="33.799999999999997"/>
        <n v="85.3"/>
        <n v="74.400000000000006"/>
        <n v="11.8"/>
        <n v="24.7"/>
        <n v="18.100000000000001"/>
        <n v="30.8"/>
        <n v="12"/>
        <n v="13.6"/>
        <n v="111.4"/>
        <n v="80.3"/>
        <n v="50.3"/>
        <n v="44.7"/>
        <n v="33"/>
        <n v="26.1"/>
        <n v="167.9"/>
        <n v="104.5"/>
        <n v="67.3"/>
        <n v="32.9"/>
        <n v="100.8"/>
        <n v="166.2"/>
        <n v="116.6"/>
        <n v="56.2"/>
        <n v="42.1"/>
        <n v="22.8"/>
        <n v="171.1"/>
        <n v="28"/>
        <n v="56"/>
        <n v="38.299999999999997"/>
        <n v="30.7"/>
        <n v="25.3"/>
        <n v="39.4"/>
        <n v="66.400000000000006"/>
        <n v="56.1"/>
        <n v="58.5"/>
        <n v="84.2"/>
        <n v="135"/>
        <n v="92.2"/>
        <n v="16.600000000000001"/>
        <n v="176.7"/>
        <n v="54"/>
        <n v="47"/>
        <n v="110.9"/>
        <n v="39.1"/>
        <n v="208.6"/>
        <n v="27.8"/>
        <n v="29.4"/>
        <n v="174.1"/>
        <n v="106.6"/>
        <n v="119.7"/>
        <n v="73.3"/>
        <n v="139.19999999999999"/>
        <n v="104.4"/>
        <n v="41.6"/>
        <n v="16.399999999999999"/>
        <n v="122.7"/>
        <n v="68.400000000000006"/>
        <n v="117"/>
        <n v="49.6"/>
        <n v="49.3"/>
        <n v="24.1"/>
        <n v="149.6"/>
        <n v="129.1"/>
        <n v="40.4"/>
        <n v="38.799999999999997"/>
        <n v="68"/>
        <n v="66.2"/>
        <n v="66.900000000000006"/>
        <n v="29.5"/>
        <n v="115"/>
        <n v="109.3"/>
        <n v="47.7"/>
        <n v="70.2"/>
        <n v="71.5"/>
        <n v="112.9"/>
        <n v="159.69999999999999"/>
        <n v="91.1"/>
        <n v="15.3"/>
        <n v="25.7"/>
        <n v="31.6"/>
        <n v="106.1"/>
        <n v="82.9"/>
        <n v="107.1"/>
        <n v="59.6"/>
        <n v="78.7"/>
        <n v="29.6"/>
        <n v="42.5"/>
        <n v="154.80000000000001"/>
        <n v="88.6"/>
        <n v="29"/>
        <n v="87.4"/>
        <n v="141"/>
        <n v="77.5"/>
        <n v="163"/>
        <n v="34.299999999999997"/>
        <n v="117.2"/>
        <n v="80.5"/>
        <n v="106.2"/>
        <n v="52.6"/>
        <n v="134.9"/>
        <n v="60.6"/>
        <n v="187.1"/>
        <n v="110.8"/>
        <n v="68.3"/>
        <n v="43.3"/>
        <n v="54.2"/>
        <n v="51"/>
        <n v="220.3"/>
        <n v="97.8"/>
        <n v="77.900000000000006"/>
        <n v="36.9"/>
        <n v="190.4"/>
        <n v="121.9"/>
        <n v="149.19999999999999"/>
        <n v="54.1"/>
        <n v="78.599999999999994"/>
        <n v="134.80000000000001"/>
        <n v="215.6"/>
        <n v="37.1"/>
        <n v="104.8"/>
        <n v="59"/>
        <n v="40.6"/>
        <n v="88.7"/>
        <n v="86.9"/>
        <n v="68.900000000000006"/>
        <n v="84"/>
        <n v="17.2"/>
        <n v="51.6"/>
        <n v="98"/>
        <n v="66.3"/>
        <n v="127.6"/>
        <n v="95.9"/>
        <n v="105.3"/>
        <n v="63.4"/>
        <n v="68.099999999999994"/>
        <n v="20.2"/>
        <n v="59.2"/>
        <n v="60.2"/>
        <n v="91.5"/>
        <n v="55.7"/>
        <n v="76.7"/>
        <n v="28.2"/>
        <n v="93.2"/>
        <n v="85.2"/>
        <n v="88"/>
        <n v="74.099999999999994"/>
        <n v="161.9"/>
        <n v="67.400000000000006"/>
        <n v="115.2"/>
        <n v="61.2"/>
        <n v="38.200000000000003"/>
        <n v="74.599999999999994"/>
        <n v="85.7"/>
        <n v="92.1"/>
        <n v="29.8"/>
        <n v="108.9"/>
        <n v="66.099999999999994"/>
        <n v="41.1"/>
        <n v="39.799999999999997"/>
        <n v="71.3"/>
        <n v="64"/>
        <n v="18.2"/>
        <n v="90.4"/>
        <n v="125.9"/>
        <n v="99.5"/>
        <n v="34.4"/>
        <n v="76.2"/>
        <n v="85.6"/>
        <n v="25"/>
        <n v="150.69999999999999"/>
        <n v="17"/>
        <n v="103.2"/>
        <n v="73.8"/>
        <n v="71.900000000000006"/>
        <n v="35"/>
        <n v="121"/>
        <n v="77.7"/>
        <n v="124.1"/>
        <n v="66"/>
        <n v="64.3"/>
        <n v="158.5"/>
        <n v="107.8"/>
        <n v="67.099999999999994"/>
        <n v="132.1"/>
        <n v="58.7"/>
        <n v="144.69999999999999"/>
        <n v="57.9"/>
        <n v="44.8"/>
        <n v="53.5"/>
        <n v="37.200000000000003"/>
        <n v="36.299999999999997"/>
        <n v="110.5"/>
        <n v="52.2"/>
        <n v="68.8"/>
        <n v="128.80000000000001"/>
        <n v="115.9"/>
        <n v="86"/>
        <n v="84.6"/>
        <n v="123.9"/>
        <n v="118.3"/>
        <n v="121.6"/>
        <n v="115.7"/>
        <n v="35.5"/>
        <n v="85.9"/>
        <n v="28.3"/>
        <n v="163.30000000000001"/>
        <n v="27.3"/>
        <n v="87.2"/>
        <n v="125.5"/>
        <n v="124.6"/>
        <n v="39.9"/>
        <n v="96.5"/>
        <n v="86.1"/>
        <n v="115.4"/>
        <n v="176.5"/>
        <n v="48.9"/>
        <n v="118.5"/>
        <n v="97.5"/>
        <n v="133"/>
        <n v="91.2"/>
        <n v="62.9"/>
        <n v="12.4"/>
        <n v="76"/>
        <n v="93.4"/>
        <n v="143.19999999999999"/>
        <n v="13.7"/>
        <n v="80.8"/>
        <n v="76.8"/>
        <n v="62.6"/>
        <n v="81.2"/>
        <n v="95"/>
        <n v="172.1"/>
        <n v="233"/>
        <n v="65.8"/>
        <n v="102.4"/>
        <n v="75.900000000000006"/>
        <n v="136.5"/>
        <n v="140.69999999999999"/>
        <n v="135.1"/>
        <n v="95.5"/>
        <n v="60"/>
        <n v="55.4"/>
        <n v="27.6"/>
        <n v="82.4"/>
        <n v="84.4"/>
        <n v="33.200000000000003"/>
        <n v="124.2"/>
        <n v="217"/>
        <n v="97.3"/>
        <n v="49.8"/>
        <n v="111.1"/>
        <n v="104.7"/>
        <n v="80.599999999999994"/>
        <n v="61.4"/>
        <n v="25.4"/>
        <n v="18.399999999999999"/>
        <n v="16.3"/>
        <n v="73.900000000000006"/>
        <n v="75.599999999999994"/>
        <n v="11.7"/>
        <n v="83.8"/>
        <n v="14"/>
        <n v="76.900000000000006"/>
        <n v="94.5"/>
        <n v="152.19999999999999"/>
        <n v="72"/>
        <n v="107.5"/>
        <n v="123.1"/>
        <n v="50.1"/>
        <n v="81.400000000000006"/>
        <n v="97.6"/>
        <n v="84.3"/>
        <n v="117.9"/>
        <n v="85.1"/>
        <n v="100.7"/>
        <n v="97"/>
        <n v="12.2"/>
        <n v="151"/>
        <n v="16.5"/>
        <n v="176"/>
        <n v="56.9"/>
        <n v="105.2"/>
        <n v="84.1"/>
        <n v="57.5"/>
        <n v="12.8"/>
        <n v="115.3"/>
        <n v="23"/>
        <n v="13.2"/>
        <n v="80.099999999999994"/>
        <n v="83.2"/>
        <n v="157"/>
        <n v="107.4"/>
        <n v="17.399999999999999"/>
        <n v="234.7"/>
        <n v="93.9"/>
        <n v="187"/>
        <n v="76.599999999999994"/>
        <n v="78.5"/>
        <n v="72.900000000000006"/>
        <n v="96.7"/>
        <n v="106"/>
        <n v="80.400000000000006"/>
        <n v="76.400000000000006"/>
        <n v="102.3"/>
        <n v="13.8"/>
        <n v="121.3"/>
        <n v="145.69999999999999"/>
        <n v="35.4"/>
        <n v="85.5"/>
        <n v="43.9"/>
        <n v="70.5"/>
        <n v="154.4"/>
        <n v="75.400000000000006"/>
        <n v="208.2"/>
        <n v="118.4"/>
        <n v="125.3"/>
        <n v="182.3"/>
        <n v="19.399999999999999"/>
        <n v="101.4"/>
        <n v="109.2"/>
        <n v="82.8"/>
        <n v="83.9"/>
        <n v="92.4"/>
        <n v="152.6"/>
        <n v="71.7"/>
        <n v="44.6"/>
        <n v="153.6"/>
        <n v="71.8"/>
        <n v="16.899999999999999"/>
        <n v="121.4"/>
        <n v="40.200000000000003"/>
        <n v="12.3"/>
        <n v="117.8"/>
      </sharedItems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 count="88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</sharedItems>
    </cacheField>
    <cacheField name="Ship Date" numFmtId="15">
      <sharedItems containsSemiMixedTypes="0" containsNonDate="0" containsDate="1" containsString="0" minDate="2025-01-02T00:00:00" maxDate="2025-04-11T00:00:00" count="96">
        <d v="2025-01-06T00:00:00"/>
        <d v="2025-01-03T00:00:00"/>
        <d v="2025-01-04T00:00:00"/>
        <d v="2025-01-02T00:00:00"/>
        <d v="2025-01-07T00:00:00"/>
        <d v="2025-01-05T00:00:00"/>
        <d v="2025-01-08T00:00:00"/>
        <d v="2025-01-11T00:00:00"/>
        <d v="2025-01-09T00:00:00"/>
        <d v="2025-01-10T00:00:00"/>
        <d v="2025-01-17T00:00:00"/>
        <d v="2025-01-15T00:00:00"/>
        <d v="2025-01-12T00:00:00"/>
        <d v="2025-01-18T00:00:00"/>
        <d v="2025-01-13T00:00:00"/>
        <d v="2025-01-16T00:00:00"/>
        <d v="2025-01-14T00:00:00"/>
        <d v="2025-01-25T00:00:00"/>
        <d v="2025-01-19T00:00:00"/>
        <d v="2025-01-26T00:00:00"/>
        <d v="2025-01-21T00:00:00"/>
        <d v="2025-01-20T00:00:00"/>
        <d v="2025-01-27T00:00:00"/>
        <d v="2025-01-23T00:00:00"/>
        <d v="2025-01-22T00:00:00"/>
        <d v="2025-01-24T00:00:00"/>
        <d v="2025-01-30T00:00:00"/>
        <d v="2025-01-31T00:00:00"/>
        <d v="2025-01-29T00:00:00"/>
        <d v="2025-01-28T00:00:00"/>
        <d v="2025-02-01T00:00:00"/>
        <d v="2025-02-07T00:00:00"/>
        <d v="2025-02-04T00:00:00"/>
        <d v="2025-02-02T00:00:00"/>
        <d v="2025-02-03T00:00:00"/>
        <d v="2025-02-09T00:00:00"/>
        <d v="2025-02-05T00:00:00"/>
        <d v="2025-02-10T00:00:00"/>
        <d v="2025-02-06T00:00:00"/>
        <d v="2025-02-08T00:00:00"/>
        <d v="2025-02-11T00:00:00"/>
        <d v="2025-02-16T00:00:00"/>
        <d v="2025-02-14T00:00:00"/>
        <d v="2025-02-17T00:00:00"/>
        <d v="2025-02-12T00:00:00"/>
        <d v="2025-02-13T00:00:00"/>
        <d v="2025-02-19T00:00:00"/>
        <d v="2025-02-21T00:00:00"/>
        <d v="2025-02-15T00:00:00"/>
        <d v="2025-02-20T00:00:00"/>
        <d v="2025-02-18T00:00:00"/>
        <d v="2025-02-25T00:00:00"/>
        <d v="2025-02-26T00:00:00"/>
        <d v="2025-02-27T00:00:00"/>
        <d v="2025-02-24T00:00:00"/>
        <d v="2025-02-23T00:00:00"/>
        <d v="2025-02-22T00:00:00"/>
        <d v="2025-03-02T00:00:00"/>
        <d v="2025-02-28T00:00:00"/>
        <d v="2025-03-01T00:00:00"/>
        <d v="2025-03-09T00:00:00"/>
        <d v="2025-03-04T00:00:00"/>
        <d v="2025-03-03T00:00:00"/>
        <d v="2025-03-05T00:00:00"/>
        <d v="2025-03-13T00:00:00"/>
        <d v="2025-03-10T00:00:00"/>
        <d v="2025-03-06T00:00:00"/>
        <d v="2025-03-14T00:00:00"/>
        <d v="2025-03-07T00:00:00"/>
        <d v="2025-03-16T00:00:00"/>
        <d v="2025-03-08T00:00:00"/>
        <d v="2025-03-11T00:00:00"/>
        <d v="2025-03-15T00:00:00"/>
        <d v="2025-03-18T00:00:00"/>
        <d v="2025-03-12T00:00:00"/>
        <d v="2025-03-21T00:00:00"/>
        <d v="2025-03-17T00:00:00"/>
        <d v="2025-03-24T00:00:00"/>
        <d v="2025-03-20T00:00:00"/>
        <d v="2025-03-23T00:00:00"/>
        <d v="2025-03-22T00:00:00"/>
        <d v="2025-03-26T00:00:00"/>
        <d v="2025-03-25T00:00:00"/>
        <d v="2025-03-19T00:00:00"/>
        <d v="2025-04-01T00:00:00"/>
        <d v="2025-04-03T00:00:00"/>
        <d v="2025-03-28T00:00:00"/>
        <d v="2025-03-27T00:00:00"/>
        <d v="2025-03-31T00:00:00"/>
        <d v="2025-03-30T00:00:00"/>
        <d v="2025-03-29T00:00:00"/>
        <d v="2025-04-09T00:00:00"/>
        <d v="2025-04-02T00:00:00"/>
        <d v="2025-04-05T00:00:00"/>
        <d v="2025-04-10T00:00:00"/>
        <d v="2025-04-04T00:00:00"/>
      </sharedItems>
    </cacheField>
    <cacheField name="Customer Gender" numFmtId="0">
      <sharedItems count="4">
        <s v=""/>
        <s v="M"/>
        <s v="F"/>
        <s v="O"/>
      </sharedItems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 count="5">
        <n v="4"/>
        <n v="3"/>
        <n v="5"/>
        <n v="1"/>
        <n v="2"/>
      </sharedItems>
    </cacheField>
    <cacheField name="State" numFmtId="0">
      <sharedItems count="1">
        <s v="California"/>
      </sharedItems>
    </cacheField>
    <cacheField name="County" numFmtId="0">
      <sharedItems count="58">
        <s v="Alpine County"/>
        <s v="Contra Costa County"/>
        <s v="Fresno County"/>
        <s v="Los Angeles County"/>
        <s v="Nevada County"/>
        <s v="Placer County"/>
        <s v="Sacramento County"/>
        <s v="San Bernardino County"/>
        <s v="San Diego County"/>
        <s v="San Mateo County"/>
        <s v="Santa Barbara County"/>
        <s v="Santa Clara County"/>
        <s v="Tehama County"/>
        <s v="Ventura County"/>
        <s v="Calaveras County"/>
        <s v="Inyo County"/>
        <s v="Napa County"/>
        <s v="San Francisco"/>
        <s v="Sonoma County"/>
        <s v="Stanislaus County"/>
        <s v="Tulare County"/>
        <s v="Alameda County"/>
        <s v="Kern County"/>
        <s v="Riverside County"/>
        <s v="Merced County"/>
        <s v="Orange County"/>
        <s v="San Joaquin County"/>
        <s v="Glenn County"/>
        <s v="Yolo County"/>
        <s v="Mendocino County"/>
        <s v="Siskiyou County"/>
        <s v="Sutter County"/>
        <s v="Santa Cruz County"/>
        <s v="Imperial County"/>
        <s v="Kings County"/>
        <s v="Plumas County"/>
        <s v="San Benito County"/>
        <s v="Madera County"/>
        <s v="Solano County"/>
        <s v="Modoc County"/>
        <s v="Mariposa County"/>
        <s v="San Luis Obispo County"/>
        <s v="El Dorado County"/>
        <s v="Marin County"/>
        <s v="Humboldt County"/>
        <s v="Trinity County"/>
        <s v="Amador County"/>
        <s v="Mono County"/>
        <s v="Sierra County"/>
        <s v="Monterey County"/>
        <s v="Lake County"/>
        <s v="Butte County"/>
        <s v="Tuolumne County"/>
        <s v="Shasta County"/>
        <s v="Colusa County"/>
        <s v="Lassen County"/>
        <s v="Yuba County"/>
        <s v="Del Norte County"/>
      </sharedItems>
    </cacheField>
    <cacheField name="Days to Deliver" numFmtId="0">
      <sharedItems containsSemiMixedTypes="0" containsString="0" containsNumber="1" containsInteger="1" minValue="0" maxValue="14" count="15">
        <n v="5"/>
        <n v="2"/>
        <n v="3"/>
        <n v="1"/>
        <n v="6"/>
        <n v="4"/>
        <n v="7"/>
        <n v="0"/>
        <n v="9"/>
        <n v="8"/>
        <n v="13"/>
        <n v="11"/>
        <n v="14"/>
        <n v="12"/>
        <n v="10"/>
      </sharedItems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 count="4">
        <s v="Unknown"/>
        <s v="Male"/>
        <s v="Female"/>
        <s v="Other"/>
      </sharedItems>
    </cacheField>
  </cacheFields>
  <extLst>
    <ext xmlns:x14="http://schemas.microsoft.com/office/spreadsheetml/2009/9/main" uri="{725AE2AE-9491-48be-B2B4-4EB974FC3084}">
      <x14:pivotCacheDefinition pivotCacheId="15901914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x v="0"/>
    <x v="0"/>
    <x v="0"/>
    <x v="0"/>
    <n v="10.9"/>
    <x v="0"/>
    <x v="0"/>
    <x v="0"/>
    <x v="0"/>
    <x v="0"/>
    <x v="0"/>
    <x v="0"/>
    <x v="0"/>
    <x v="0"/>
    <x v="0"/>
  </r>
  <r>
    <x v="1"/>
    <x v="1"/>
    <x v="1"/>
    <x v="1"/>
    <n v="61.2"/>
    <x v="0"/>
    <x v="1"/>
    <x v="1"/>
    <x v="0"/>
    <x v="0"/>
    <x v="0"/>
    <x v="1"/>
    <x v="1"/>
    <x v="0"/>
    <x v="1"/>
  </r>
  <r>
    <x v="2"/>
    <x v="2"/>
    <x v="2"/>
    <x v="2"/>
    <n v="328.20000000000005"/>
    <x v="0"/>
    <x v="2"/>
    <x v="2"/>
    <x v="0"/>
    <x v="1"/>
    <x v="0"/>
    <x v="2"/>
    <x v="2"/>
    <x v="0"/>
    <x v="2"/>
  </r>
  <r>
    <x v="3"/>
    <x v="3"/>
    <x v="3"/>
    <x v="3"/>
    <n v="263.90000000000003"/>
    <x v="0"/>
    <x v="3"/>
    <x v="2"/>
    <x v="0"/>
    <x v="0"/>
    <x v="0"/>
    <x v="2"/>
    <x v="3"/>
    <x v="0"/>
    <x v="2"/>
  </r>
  <r>
    <x v="4"/>
    <x v="4"/>
    <x v="2"/>
    <x v="4"/>
    <n v="170.10000000000002"/>
    <x v="0"/>
    <x v="2"/>
    <x v="2"/>
    <x v="0"/>
    <x v="2"/>
    <x v="0"/>
    <x v="3"/>
    <x v="2"/>
    <x v="0"/>
    <x v="2"/>
  </r>
  <r>
    <x v="5"/>
    <x v="1"/>
    <x v="4"/>
    <x v="5"/>
    <n v="1002"/>
    <x v="0"/>
    <x v="2"/>
    <x v="1"/>
    <x v="1"/>
    <x v="0"/>
    <x v="0"/>
    <x v="3"/>
    <x v="2"/>
    <x v="0"/>
    <x v="1"/>
  </r>
  <r>
    <x v="6"/>
    <x v="5"/>
    <x v="0"/>
    <x v="6"/>
    <n v="55.3"/>
    <x v="0"/>
    <x v="3"/>
    <x v="2"/>
    <x v="0"/>
    <x v="0"/>
    <x v="0"/>
    <x v="3"/>
    <x v="3"/>
    <x v="0"/>
    <x v="2"/>
  </r>
  <r>
    <x v="7"/>
    <x v="6"/>
    <x v="1"/>
    <x v="7"/>
    <n v="80.599999999999994"/>
    <x v="0"/>
    <x v="3"/>
    <x v="1"/>
    <x v="2"/>
    <x v="2"/>
    <x v="0"/>
    <x v="3"/>
    <x v="3"/>
    <x v="0"/>
    <x v="1"/>
  </r>
  <r>
    <x v="8"/>
    <x v="7"/>
    <x v="5"/>
    <x v="8"/>
    <n v="392.70000000000005"/>
    <x v="0"/>
    <x v="3"/>
    <x v="2"/>
    <x v="0"/>
    <x v="0"/>
    <x v="0"/>
    <x v="3"/>
    <x v="3"/>
    <x v="0"/>
    <x v="2"/>
  </r>
  <r>
    <x v="9"/>
    <x v="8"/>
    <x v="3"/>
    <x v="9"/>
    <n v="156.79999999999998"/>
    <x v="0"/>
    <x v="2"/>
    <x v="1"/>
    <x v="0"/>
    <x v="1"/>
    <x v="0"/>
    <x v="3"/>
    <x v="2"/>
    <x v="0"/>
    <x v="1"/>
  </r>
  <r>
    <x v="10"/>
    <x v="9"/>
    <x v="1"/>
    <x v="10"/>
    <n v="108.8"/>
    <x v="0"/>
    <x v="4"/>
    <x v="2"/>
    <x v="0"/>
    <x v="0"/>
    <x v="0"/>
    <x v="3"/>
    <x v="4"/>
    <x v="0"/>
    <x v="2"/>
  </r>
  <r>
    <x v="11"/>
    <x v="9"/>
    <x v="1"/>
    <x v="11"/>
    <n v="98"/>
    <x v="0"/>
    <x v="1"/>
    <x v="2"/>
    <x v="2"/>
    <x v="1"/>
    <x v="0"/>
    <x v="3"/>
    <x v="1"/>
    <x v="0"/>
    <x v="2"/>
  </r>
  <r>
    <x v="12"/>
    <x v="5"/>
    <x v="3"/>
    <x v="12"/>
    <n v="830.19999999999993"/>
    <x v="0"/>
    <x v="5"/>
    <x v="2"/>
    <x v="1"/>
    <x v="0"/>
    <x v="0"/>
    <x v="4"/>
    <x v="5"/>
    <x v="0"/>
    <x v="2"/>
  </r>
  <r>
    <x v="13"/>
    <x v="6"/>
    <x v="6"/>
    <x v="13"/>
    <n v="2386.8000000000002"/>
    <x v="0"/>
    <x v="6"/>
    <x v="1"/>
    <x v="3"/>
    <x v="0"/>
    <x v="0"/>
    <x v="5"/>
    <x v="6"/>
    <x v="0"/>
    <x v="1"/>
  </r>
  <r>
    <x v="14"/>
    <x v="10"/>
    <x v="0"/>
    <x v="14"/>
    <n v="66.7"/>
    <x v="0"/>
    <x v="2"/>
    <x v="1"/>
    <x v="0"/>
    <x v="0"/>
    <x v="0"/>
    <x v="6"/>
    <x v="2"/>
    <x v="0"/>
    <x v="1"/>
  </r>
  <r>
    <x v="15"/>
    <x v="9"/>
    <x v="7"/>
    <x v="15"/>
    <n v="309"/>
    <x v="0"/>
    <x v="3"/>
    <x v="1"/>
    <x v="1"/>
    <x v="2"/>
    <x v="0"/>
    <x v="6"/>
    <x v="3"/>
    <x v="0"/>
    <x v="1"/>
  </r>
  <r>
    <x v="16"/>
    <x v="4"/>
    <x v="2"/>
    <x v="16"/>
    <n v="93.300000000000011"/>
    <x v="0"/>
    <x v="3"/>
    <x v="2"/>
    <x v="0"/>
    <x v="1"/>
    <x v="0"/>
    <x v="6"/>
    <x v="3"/>
    <x v="0"/>
    <x v="2"/>
  </r>
  <r>
    <x v="17"/>
    <x v="7"/>
    <x v="2"/>
    <x v="17"/>
    <n v="109.80000000000001"/>
    <x v="0"/>
    <x v="2"/>
    <x v="2"/>
    <x v="0"/>
    <x v="0"/>
    <x v="0"/>
    <x v="7"/>
    <x v="2"/>
    <x v="0"/>
    <x v="2"/>
  </r>
  <r>
    <x v="18"/>
    <x v="6"/>
    <x v="8"/>
    <x v="18"/>
    <n v="408.8"/>
    <x v="0"/>
    <x v="2"/>
    <x v="2"/>
    <x v="2"/>
    <x v="3"/>
    <x v="0"/>
    <x v="7"/>
    <x v="2"/>
    <x v="0"/>
    <x v="2"/>
  </r>
  <r>
    <x v="19"/>
    <x v="9"/>
    <x v="0"/>
    <x v="19"/>
    <n v="25.2"/>
    <x v="0"/>
    <x v="3"/>
    <x v="2"/>
    <x v="1"/>
    <x v="2"/>
    <x v="0"/>
    <x v="8"/>
    <x v="3"/>
    <x v="0"/>
    <x v="2"/>
  </r>
  <r>
    <x v="20"/>
    <x v="9"/>
    <x v="9"/>
    <x v="20"/>
    <n v="219"/>
    <x v="0"/>
    <x v="2"/>
    <x v="2"/>
    <x v="2"/>
    <x v="0"/>
    <x v="0"/>
    <x v="8"/>
    <x v="2"/>
    <x v="0"/>
    <x v="2"/>
  </r>
  <r>
    <x v="21"/>
    <x v="8"/>
    <x v="4"/>
    <x v="21"/>
    <n v="560.40000000000009"/>
    <x v="0"/>
    <x v="3"/>
    <x v="2"/>
    <x v="1"/>
    <x v="1"/>
    <x v="0"/>
    <x v="8"/>
    <x v="3"/>
    <x v="0"/>
    <x v="2"/>
  </r>
  <r>
    <x v="22"/>
    <x v="3"/>
    <x v="10"/>
    <x v="22"/>
    <n v="1518.1000000000001"/>
    <x v="0"/>
    <x v="3"/>
    <x v="1"/>
    <x v="0"/>
    <x v="2"/>
    <x v="0"/>
    <x v="8"/>
    <x v="3"/>
    <x v="0"/>
    <x v="1"/>
  </r>
  <r>
    <x v="23"/>
    <x v="11"/>
    <x v="8"/>
    <x v="23"/>
    <n v="211.2"/>
    <x v="0"/>
    <x v="3"/>
    <x v="2"/>
    <x v="3"/>
    <x v="0"/>
    <x v="0"/>
    <x v="8"/>
    <x v="3"/>
    <x v="0"/>
    <x v="2"/>
  </r>
  <r>
    <x v="24"/>
    <x v="12"/>
    <x v="8"/>
    <x v="24"/>
    <n v="710.4"/>
    <x v="0"/>
    <x v="3"/>
    <x v="2"/>
    <x v="4"/>
    <x v="0"/>
    <x v="0"/>
    <x v="8"/>
    <x v="3"/>
    <x v="0"/>
    <x v="2"/>
  </r>
  <r>
    <x v="25"/>
    <x v="0"/>
    <x v="7"/>
    <x v="25"/>
    <n v="175"/>
    <x v="0"/>
    <x v="3"/>
    <x v="2"/>
    <x v="2"/>
    <x v="0"/>
    <x v="0"/>
    <x v="9"/>
    <x v="3"/>
    <x v="0"/>
    <x v="2"/>
  </r>
  <r>
    <x v="26"/>
    <x v="1"/>
    <x v="11"/>
    <x v="26"/>
    <n v="348.3"/>
    <x v="0"/>
    <x v="2"/>
    <x v="1"/>
    <x v="1"/>
    <x v="0"/>
    <x v="0"/>
    <x v="10"/>
    <x v="2"/>
    <x v="0"/>
    <x v="1"/>
  </r>
  <r>
    <x v="27"/>
    <x v="13"/>
    <x v="12"/>
    <x v="27"/>
    <n v="228.8"/>
    <x v="0"/>
    <x v="1"/>
    <x v="0"/>
    <x v="1"/>
    <x v="2"/>
    <x v="0"/>
    <x v="11"/>
    <x v="1"/>
    <x v="0"/>
    <x v="0"/>
  </r>
  <r>
    <x v="28"/>
    <x v="6"/>
    <x v="9"/>
    <x v="28"/>
    <n v="254.5"/>
    <x v="0"/>
    <x v="4"/>
    <x v="0"/>
    <x v="1"/>
    <x v="2"/>
    <x v="0"/>
    <x v="12"/>
    <x v="4"/>
    <x v="0"/>
    <x v="0"/>
  </r>
  <r>
    <x v="29"/>
    <x v="14"/>
    <x v="3"/>
    <x v="29"/>
    <n v="287"/>
    <x v="0"/>
    <x v="5"/>
    <x v="2"/>
    <x v="1"/>
    <x v="0"/>
    <x v="0"/>
    <x v="13"/>
    <x v="5"/>
    <x v="0"/>
    <x v="2"/>
  </r>
  <r>
    <x v="30"/>
    <x v="8"/>
    <x v="3"/>
    <x v="30"/>
    <n v="133.70000000000002"/>
    <x v="0"/>
    <x v="5"/>
    <x v="1"/>
    <x v="0"/>
    <x v="2"/>
    <x v="0"/>
    <x v="14"/>
    <x v="5"/>
    <x v="0"/>
    <x v="1"/>
  </r>
  <r>
    <x v="31"/>
    <x v="2"/>
    <x v="9"/>
    <x v="31"/>
    <n v="830.5"/>
    <x v="0"/>
    <x v="2"/>
    <x v="1"/>
    <x v="0"/>
    <x v="0"/>
    <x v="0"/>
    <x v="15"/>
    <x v="2"/>
    <x v="0"/>
    <x v="1"/>
  </r>
  <r>
    <x v="32"/>
    <x v="4"/>
    <x v="2"/>
    <x v="32"/>
    <n v="89.699999999999989"/>
    <x v="0"/>
    <x v="3"/>
    <x v="1"/>
    <x v="3"/>
    <x v="0"/>
    <x v="0"/>
    <x v="3"/>
    <x v="3"/>
    <x v="0"/>
    <x v="1"/>
  </r>
  <r>
    <x v="33"/>
    <x v="10"/>
    <x v="13"/>
    <x v="33"/>
    <n v="130.19999999999999"/>
    <x v="0"/>
    <x v="1"/>
    <x v="3"/>
    <x v="2"/>
    <x v="2"/>
    <x v="0"/>
    <x v="3"/>
    <x v="1"/>
    <x v="0"/>
    <x v="3"/>
  </r>
  <r>
    <x v="34"/>
    <x v="11"/>
    <x v="1"/>
    <x v="34"/>
    <n v="64"/>
    <x v="0"/>
    <x v="2"/>
    <x v="1"/>
    <x v="0"/>
    <x v="2"/>
    <x v="0"/>
    <x v="3"/>
    <x v="2"/>
    <x v="0"/>
    <x v="1"/>
  </r>
  <r>
    <x v="35"/>
    <x v="8"/>
    <x v="1"/>
    <x v="35"/>
    <n v="31.6"/>
    <x v="0"/>
    <x v="3"/>
    <x v="1"/>
    <x v="4"/>
    <x v="2"/>
    <x v="0"/>
    <x v="3"/>
    <x v="3"/>
    <x v="0"/>
    <x v="1"/>
  </r>
  <r>
    <x v="36"/>
    <x v="2"/>
    <x v="14"/>
    <x v="36"/>
    <n v="3452.7"/>
    <x v="0"/>
    <x v="5"/>
    <x v="1"/>
    <x v="3"/>
    <x v="1"/>
    <x v="0"/>
    <x v="3"/>
    <x v="5"/>
    <x v="0"/>
    <x v="1"/>
  </r>
  <r>
    <x v="37"/>
    <x v="7"/>
    <x v="15"/>
    <x v="37"/>
    <n v="507"/>
    <x v="0"/>
    <x v="4"/>
    <x v="1"/>
    <x v="0"/>
    <x v="2"/>
    <x v="0"/>
    <x v="3"/>
    <x v="4"/>
    <x v="0"/>
    <x v="1"/>
  </r>
  <r>
    <x v="38"/>
    <x v="10"/>
    <x v="0"/>
    <x v="38"/>
    <n v="26.5"/>
    <x v="1"/>
    <x v="1"/>
    <x v="1"/>
    <x v="2"/>
    <x v="0"/>
    <x v="0"/>
    <x v="3"/>
    <x v="3"/>
    <x v="0"/>
    <x v="1"/>
  </r>
  <r>
    <x v="39"/>
    <x v="5"/>
    <x v="0"/>
    <x v="39"/>
    <n v="43.1"/>
    <x v="1"/>
    <x v="1"/>
    <x v="2"/>
    <x v="2"/>
    <x v="1"/>
    <x v="0"/>
    <x v="3"/>
    <x v="3"/>
    <x v="0"/>
    <x v="2"/>
  </r>
  <r>
    <x v="40"/>
    <x v="1"/>
    <x v="2"/>
    <x v="40"/>
    <n v="417"/>
    <x v="1"/>
    <x v="1"/>
    <x v="2"/>
    <x v="4"/>
    <x v="2"/>
    <x v="0"/>
    <x v="3"/>
    <x v="3"/>
    <x v="0"/>
    <x v="2"/>
  </r>
  <r>
    <x v="41"/>
    <x v="12"/>
    <x v="0"/>
    <x v="41"/>
    <n v="80.7"/>
    <x v="1"/>
    <x v="1"/>
    <x v="1"/>
    <x v="0"/>
    <x v="2"/>
    <x v="0"/>
    <x v="16"/>
    <x v="3"/>
    <x v="0"/>
    <x v="1"/>
  </r>
  <r>
    <x v="42"/>
    <x v="4"/>
    <x v="1"/>
    <x v="42"/>
    <n v="109"/>
    <x v="1"/>
    <x v="2"/>
    <x v="1"/>
    <x v="1"/>
    <x v="1"/>
    <x v="0"/>
    <x v="6"/>
    <x v="1"/>
    <x v="0"/>
    <x v="1"/>
  </r>
  <r>
    <x v="43"/>
    <x v="6"/>
    <x v="2"/>
    <x v="43"/>
    <n v="205.79999999999998"/>
    <x v="1"/>
    <x v="3"/>
    <x v="2"/>
    <x v="0"/>
    <x v="1"/>
    <x v="0"/>
    <x v="8"/>
    <x v="7"/>
    <x v="0"/>
    <x v="2"/>
  </r>
  <r>
    <x v="44"/>
    <x v="2"/>
    <x v="12"/>
    <x v="44"/>
    <n v="543.6"/>
    <x v="1"/>
    <x v="1"/>
    <x v="2"/>
    <x v="2"/>
    <x v="2"/>
    <x v="0"/>
    <x v="8"/>
    <x v="3"/>
    <x v="0"/>
    <x v="2"/>
  </r>
  <r>
    <x v="45"/>
    <x v="2"/>
    <x v="12"/>
    <x v="45"/>
    <n v="283.60000000000002"/>
    <x v="1"/>
    <x v="1"/>
    <x v="2"/>
    <x v="0"/>
    <x v="0"/>
    <x v="0"/>
    <x v="17"/>
    <x v="3"/>
    <x v="0"/>
    <x v="2"/>
  </r>
  <r>
    <x v="46"/>
    <x v="1"/>
    <x v="9"/>
    <x v="46"/>
    <n v="318.5"/>
    <x v="1"/>
    <x v="1"/>
    <x v="1"/>
    <x v="1"/>
    <x v="1"/>
    <x v="0"/>
    <x v="9"/>
    <x v="3"/>
    <x v="0"/>
    <x v="1"/>
  </r>
  <r>
    <x v="47"/>
    <x v="13"/>
    <x v="0"/>
    <x v="47"/>
    <n v="29.7"/>
    <x v="1"/>
    <x v="2"/>
    <x v="2"/>
    <x v="1"/>
    <x v="0"/>
    <x v="0"/>
    <x v="11"/>
    <x v="1"/>
    <x v="0"/>
    <x v="2"/>
  </r>
  <r>
    <x v="48"/>
    <x v="4"/>
    <x v="2"/>
    <x v="48"/>
    <n v="80.400000000000006"/>
    <x v="1"/>
    <x v="7"/>
    <x v="2"/>
    <x v="1"/>
    <x v="2"/>
    <x v="0"/>
    <x v="11"/>
    <x v="8"/>
    <x v="0"/>
    <x v="2"/>
  </r>
  <r>
    <x v="49"/>
    <x v="14"/>
    <x v="0"/>
    <x v="49"/>
    <n v="27"/>
    <x v="1"/>
    <x v="2"/>
    <x v="2"/>
    <x v="0"/>
    <x v="0"/>
    <x v="0"/>
    <x v="18"/>
    <x v="1"/>
    <x v="0"/>
    <x v="2"/>
  </r>
  <r>
    <x v="50"/>
    <x v="8"/>
    <x v="0"/>
    <x v="50"/>
    <n v="41.4"/>
    <x v="1"/>
    <x v="1"/>
    <x v="1"/>
    <x v="1"/>
    <x v="2"/>
    <x v="0"/>
    <x v="19"/>
    <x v="3"/>
    <x v="0"/>
    <x v="1"/>
  </r>
  <r>
    <x v="51"/>
    <x v="8"/>
    <x v="1"/>
    <x v="51"/>
    <n v="48.6"/>
    <x v="1"/>
    <x v="5"/>
    <x v="2"/>
    <x v="1"/>
    <x v="0"/>
    <x v="0"/>
    <x v="19"/>
    <x v="2"/>
    <x v="0"/>
    <x v="2"/>
  </r>
  <r>
    <x v="52"/>
    <x v="8"/>
    <x v="2"/>
    <x v="52"/>
    <n v="125.10000000000001"/>
    <x v="1"/>
    <x v="2"/>
    <x v="1"/>
    <x v="0"/>
    <x v="2"/>
    <x v="0"/>
    <x v="20"/>
    <x v="1"/>
    <x v="0"/>
    <x v="1"/>
  </r>
  <r>
    <x v="53"/>
    <x v="0"/>
    <x v="1"/>
    <x v="53"/>
    <n v="36"/>
    <x v="1"/>
    <x v="1"/>
    <x v="2"/>
    <x v="0"/>
    <x v="2"/>
    <x v="0"/>
    <x v="21"/>
    <x v="3"/>
    <x v="0"/>
    <x v="2"/>
  </r>
  <r>
    <x v="54"/>
    <x v="7"/>
    <x v="2"/>
    <x v="54"/>
    <n v="273.89999999999998"/>
    <x v="1"/>
    <x v="5"/>
    <x v="1"/>
    <x v="2"/>
    <x v="2"/>
    <x v="0"/>
    <x v="3"/>
    <x v="2"/>
    <x v="0"/>
    <x v="1"/>
  </r>
  <r>
    <x v="55"/>
    <x v="8"/>
    <x v="8"/>
    <x v="55"/>
    <n v="154.4"/>
    <x v="1"/>
    <x v="1"/>
    <x v="1"/>
    <x v="0"/>
    <x v="0"/>
    <x v="0"/>
    <x v="3"/>
    <x v="3"/>
    <x v="0"/>
    <x v="1"/>
  </r>
  <r>
    <x v="56"/>
    <x v="12"/>
    <x v="15"/>
    <x v="56"/>
    <n v="821.6"/>
    <x v="1"/>
    <x v="1"/>
    <x v="2"/>
    <x v="0"/>
    <x v="0"/>
    <x v="0"/>
    <x v="3"/>
    <x v="3"/>
    <x v="0"/>
    <x v="2"/>
  </r>
  <r>
    <x v="57"/>
    <x v="10"/>
    <x v="11"/>
    <x v="57"/>
    <n v="299.7"/>
    <x v="2"/>
    <x v="7"/>
    <x v="2"/>
    <x v="0"/>
    <x v="2"/>
    <x v="0"/>
    <x v="3"/>
    <x v="9"/>
    <x v="0"/>
    <x v="2"/>
  </r>
  <r>
    <x v="58"/>
    <x v="7"/>
    <x v="1"/>
    <x v="58"/>
    <n v="128.4"/>
    <x v="2"/>
    <x v="2"/>
    <x v="1"/>
    <x v="0"/>
    <x v="2"/>
    <x v="0"/>
    <x v="3"/>
    <x v="3"/>
    <x v="0"/>
    <x v="1"/>
  </r>
  <r>
    <x v="59"/>
    <x v="9"/>
    <x v="2"/>
    <x v="59"/>
    <n v="69.300000000000011"/>
    <x v="2"/>
    <x v="0"/>
    <x v="2"/>
    <x v="1"/>
    <x v="2"/>
    <x v="0"/>
    <x v="3"/>
    <x v="2"/>
    <x v="0"/>
    <x v="2"/>
  </r>
  <r>
    <x v="60"/>
    <x v="15"/>
    <x v="1"/>
    <x v="60"/>
    <n v="142.19999999999999"/>
    <x v="2"/>
    <x v="5"/>
    <x v="2"/>
    <x v="3"/>
    <x v="1"/>
    <x v="0"/>
    <x v="3"/>
    <x v="1"/>
    <x v="0"/>
    <x v="2"/>
  </r>
  <r>
    <x v="61"/>
    <x v="0"/>
    <x v="1"/>
    <x v="61"/>
    <n v="23"/>
    <x v="2"/>
    <x v="2"/>
    <x v="2"/>
    <x v="0"/>
    <x v="0"/>
    <x v="0"/>
    <x v="3"/>
    <x v="3"/>
    <x v="0"/>
    <x v="2"/>
  </r>
  <r>
    <x v="62"/>
    <x v="15"/>
    <x v="10"/>
    <x v="62"/>
    <n v="1314.8"/>
    <x v="2"/>
    <x v="6"/>
    <x v="2"/>
    <x v="0"/>
    <x v="0"/>
    <x v="0"/>
    <x v="3"/>
    <x v="0"/>
    <x v="0"/>
    <x v="2"/>
  </r>
  <r>
    <x v="63"/>
    <x v="0"/>
    <x v="0"/>
    <x v="48"/>
    <n v="26.8"/>
    <x v="2"/>
    <x v="2"/>
    <x v="1"/>
    <x v="2"/>
    <x v="4"/>
    <x v="0"/>
    <x v="3"/>
    <x v="3"/>
    <x v="0"/>
    <x v="1"/>
  </r>
  <r>
    <x v="64"/>
    <x v="16"/>
    <x v="2"/>
    <x v="63"/>
    <n v="93.6"/>
    <x v="2"/>
    <x v="0"/>
    <x v="2"/>
    <x v="0"/>
    <x v="0"/>
    <x v="0"/>
    <x v="3"/>
    <x v="2"/>
    <x v="0"/>
    <x v="2"/>
  </r>
  <r>
    <x v="65"/>
    <x v="12"/>
    <x v="1"/>
    <x v="64"/>
    <n v="226.4"/>
    <x v="2"/>
    <x v="2"/>
    <x v="2"/>
    <x v="4"/>
    <x v="0"/>
    <x v="0"/>
    <x v="3"/>
    <x v="3"/>
    <x v="0"/>
    <x v="2"/>
  </r>
  <r>
    <x v="66"/>
    <x v="10"/>
    <x v="8"/>
    <x v="65"/>
    <n v="168"/>
    <x v="2"/>
    <x v="2"/>
    <x v="1"/>
    <x v="0"/>
    <x v="0"/>
    <x v="0"/>
    <x v="6"/>
    <x v="3"/>
    <x v="0"/>
    <x v="1"/>
  </r>
  <r>
    <x v="67"/>
    <x v="1"/>
    <x v="1"/>
    <x v="66"/>
    <n v="178.2"/>
    <x v="2"/>
    <x v="2"/>
    <x v="2"/>
    <x v="2"/>
    <x v="2"/>
    <x v="0"/>
    <x v="6"/>
    <x v="3"/>
    <x v="0"/>
    <x v="2"/>
  </r>
  <r>
    <x v="68"/>
    <x v="1"/>
    <x v="0"/>
    <x v="67"/>
    <n v="97.7"/>
    <x v="2"/>
    <x v="5"/>
    <x v="2"/>
    <x v="0"/>
    <x v="1"/>
    <x v="0"/>
    <x v="6"/>
    <x v="1"/>
    <x v="0"/>
    <x v="2"/>
  </r>
  <r>
    <x v="69"/>
    <x v="15"/>
    <x v="12"/>
    <x v="67"/>
    <n v="390.8"/>
    <x v="2"/>
    <x v="5"/>
    <x v="1"/>
    <x v="3"/>
    <x v="0"/>
    <x v="0"/>
    <x v="6"/>
    <x v="1"/>
    <x v="0"/>
    <x v="1"/>
  </r>
  <r>
    <x v="70"/>
    <x v="17"/>
    <x v="2"/>
    <x v="68"/>
    <n v="142.19999999999999"/>
    <x v="2"/>
    <x v="0"/>
    <x v="1"/>
    <x v="3"/>
    <x v="2"/>
    <x v="0"/>
    <x v="8"/>
    <x v="2"/>
    <x v="0"/>
    <x v="1"/>
  </r>
  <r>
    <x v="71"/>
    <x v="7"/>
    <x v="0"/>
    <x v="69"/>
    <n v="89.6"/>
    <x v="2"/>
    <x v="0"/>
    <x v="2"/>
    <x v="0"/>
    <x v="2"/>
    <x v="0"/>
    <x v="8"/>
    <x v="2"/>
    <x v="0"/>
    <x v="2"/>
  </r>
  <r>
    <x v="72"/>
    <x v="10"/>
    <x v="16"/>
    <x v="70"/>
    <n v="511.2"/>
    <x v="2"/>
    <x v="0"/>
    <x v="2"/>
    <x v="3"/>
    <x v="2"/>
    <x v="0"/>
    <x v="17"/>
    <x v="2"/>
    <x v="0"/>
    <x v="2"/>
  </r>
  <r>
    <x v="73"/>
    <x v="0"/>
    <x v="1"/>
    <x v="71"/>
    <n v="35.799999999999997"/>
    <x v="2"/>
    <x v="2"/>
    <x v="2"/>
    <x v="0"/>
    <x v="2"/>
    <x v="0"/>
    <x v="9"/>
    <x v="3"/>
    <x v="0"/>
    <x v="2"/>
  </r>
  <r>
    <x v="74"/>
    <x v="9"/>
    <x v="1"/>
    <x v="72"/>
    <n v="96.8"/>
    <x v="2"/>
    <x v="0"/>
    <x v="1"/>
    <x v="1"/>
    <x v="0"/>
    <x v="0"/>
    <x v="9"/>
    <x v="2"/>
    <x v="0"/>
    <x v="1"/>
  </r>
  <r>
    <x v="75"/>
    <x v="12"/>
    <x v="12"/>
    <x v="73"/>
    <n v="177.6"/>
    <x v="2"/>
    <x v="2"/>
    <x v="3"/>
    <x v="1"/>
    <x v="1"/>
    <x v="0"/>
    <x v="11"/>
    <x v="3"/>
    <x v="0"/>
    <x v="3"/>
  </r>
  <r>
    <x v="76"/>
    <x v="2"/>
    <x v="8"/>
    <x v="74"/>
    <n v="829.6"/>
    <x v="2"/>
    <x v="2"/>
    <x v="2"/>
    <x v="0"/>
    <x v="1"/>
    <x v="0"/>
    <x v="19"/>
    <x v="3"/>
    <x v="0"/>
    <x v="2"/>
  </r>
  <r>
    <x v="77"/>
    <x v="5"/>
    <x v="12"/>
    <x v="75"/>
    <n v="234.4"/>
    <x v="2"/>
    <x v="5"/>
    <x v="1"/>
    <x v="3"/>
    <x v="0"/>
    <x v="0"/>
    <x v="19"/>
    <x v="1"/>
    <x v="0"/>
    <x v="1"/>
  </r>
  <r>
    <x v="78"/>
    <x v="9"/>
    <x v="12"/>
    <x v="76"/>
    <n v="219.2"/>
    <x v="2"/>
    <x v="4"/>
    <x v="2"/>
    <x v="2"/>
    <x v="1"/>
    <x v="0"/>
    <x v="13"/>
    <x v="5"/>
    <x v="0"/>
    <x v="2"/>
  </r>
  <r>
    <x v="79"/>
    <x v="12"/>
    <x v="2"/>
    <x v="77"/>
    <n v="236.39999999999998"/>
    <x v="2"/>
    <x v="8"/>
    <x v="2"/>
    <x v="4"/>
    <x v="1"/>
    <x v="0"/>
    <x v="21"/>
    <x v="4"/>
    <x v="0"/>
    <x v="2"/>
  </r>
  <r>
    <x v="80"/>
    <x v="18"/>
    <x v="9"/>
    <x v="78"/>
    <n v="184"/>
    <x v="2"/>
    <x v="0"/>
    <x v="1"/>
    <x v="4"/>
    <x v="1"/>
    <x v="0"/>
    <x v="22"/>
    <x v="2"/>
    <x v="0"/>
    <x v="1"/>
  </r>
  <r>
    <x v="81"/>
    <x v="6"/>
    <x v="13"/>
    <x v="79"/>
    <n v="303.60000000000002"/>
    <x v="2"/>
    <x v="5"/>
    <x v="2"/>
    <x v="3"/>
    <x v="0"/>
    <x v="0"/>
    <x v="3"/>
    <x v="1"/>
    <x v="0"/>
    <x v="2"/>
  </r>
  <r>
    <x v="82"/>
    <x v="15"/>
    <x v="2"/>
    <x v="78"/>
    <n v="110.39999999999999"/>
    <x v="2"/>
    <x v="1"/>
    <x v="1"/>
    <x v="2"/>
    <x v="1"/>
    <x v="0"/>
    <x v="3"/>
    <x v="7"/>
    <x v="0"/>
    <x v="1"/>
  </r>
  <r>
    <x v="83"/>
    <x v="8"/>
    <x v="11"/>
    <x v="80"/>
    <n v="376.2"/>
    <x v="3"/>
    <x v="9"/>
    <x v="2"/>
    <x v="3"/>
    <x v="0"/>
    <x v="0"/>
    <x v="3"/>
    <x v="4"/>
    <x v="0"/>
    <x v="2"/>
  </r>
  <r>
    <x v="84"/>
    <x v="18"/>
    <x v="0"/>
    <x v="81"/>
    <n v="77.3"/>
    <x v="3"/>
    <x v="5"/>
    <x v="1"/>
    <x v="4"/>
    <x v="4"/>
    <x v="0"/>
    <x v="3"/>
    <x v="3"/>
    <x v="0"/>
    <x v="1"/>
  </r>
  <r>
    <x v="85"/>
    <x v="8"/>
    <x v="12"/>
    <x v="82"/>
    <n v="79.2"/>
    <x v="3"/>
    <x v="9"/>
    <x v="1"/>
    <x v="1"/>
    <x v="2"/>
    <x v="0"/>
    <x v="3"/>
    <x v="4"/>
    <x v="0"/>
    <x v="1"/>
  </r>
  <r>
    <x v="86"/>
    <x v="13"/>
    <x v="12"/>
    <x v="83"/>
    <n v="62"/>
    <x v="3"/>
    <x v="5"/>
    <x v="2"/>
    <x v="1"/>
    <x v="2"/>
    <x v="0"/>
    <x v="3"/>
    <x v="3"/>
    <x v="0"/>
    <x v="2"/>
  </r>
  <r>
    <x v="87"/>
    <x v="12"/>
    <x v="0"/>
    <x v="84"/>
    <n v="46.8"/>
    <x v="3"/>
    <x v="6"/>
    <x v="1"/>
    <x v="0"/>
    <x v="2"/>
    <x v="0"/>
    <x v="3"/>
    <x v="5"/>
    <x v="0"/>
    <x v="1"/>
  </r>
  <r>
    <x v="88"/>
    <x v="9"/>
    <x v="11"/>
    <x v="85"/>
    <n v="257.40000000000003"/>
    <x v="3"/>
    <x v="6"/>
    <x v="1"/>
    <x v="0"/>
    <x v="2"/>
    <x v="0"/>
    <x v="3"/>
    <x v="5"/>
    <x v="0"/>
    <x v="1"/>
  </r>
  <r>
    <x v="89"/>
    <x v="2"/>
    <x v="0"/>
    <x v="67"/>
    <n v="97.7"/>
    <x v="3"/>
    <x v="4"/>
    <x v="2"/>
    <x v="1"/>
    <x v="0"/>
    <x v="0"/>
    <x v="3"/>
    <x v="2"/>
    <x v="0"/>
    <x v="2"/>
  </r>
  <r>
    <x v="90"/>
    <x v="9"/>
    <x v="9"/>
    <x v="86"/>
    <n v="273.5"/>
    <x v="3"/>
    <x v="4"/>
    <x v="0"/>
    <x v="0"/>
    <x v="2"/>
    <x v="0"/>
    <x v="23"/>
    <x v="2"/>
    <x v="0"/>
    <x v="0"/>
  </r>
  <r>
    <x v="91"/>
    <x v="2"/>
    <x v="13"/>
    <x v="87"/>
    <n v="783"/>
    <x v="3"/>
    <x v="0"/>
    <x v="2"/>
    <x v="0"/>
    <x v="1"/>
    <x v="0"/>
    <x v="23"/>
    <x v="1"/>
    <x v="0"/>
    <x v="2"/>
  </r>
  <r>
    <x v="92"/>
    <x v="11"/>
    <x v="1"/>
    <x v="88"/>
    <n v="100.8"/>
    <x v="3"/>
    <x v="0"/>
    <x v="1"/>
    <x v="2"/>
    <x v="2"/>
    <x v="0"/>
    <x v="6"/>
    <x v="1"/>
    <x v="0"/>
    <x v="1"/>
  </r>
  <r>
    <x v="93"/>
    <x v="6"/>
    <x v="15"/>
    <x v="89"/>
    <n v="799.5"/>
    <x v="3"/>
    <x v="5"/>
    <x v="0"/>
    <x v="3"/>
    <x v="1"/>
    <x v="0"/>
    <x v="11"/>
    <x v="3"/>
    <x v="0"/>
    <x v="0"/>
  </r>
  <r>
    <x v="94"/>
    <x v="9"/>
    <x v="12"/>
    <x v="90"/>
    <n v="120.4"/>
    <x v="3"/>
    <x v="5"/>
    <x v="2"/>
    <x v="0"/>
    <x v="2"/>
    <x v="0"/>
    <x v="21"/>
    <x v="3"/>
    <x v="0"/>
    <x v="2"/>
  </r>
  <r>
    <x v="95"/>
    <x v="2"/>
    <x v="9"/>
    <x v="91"/>
    <n v="374"/>
    <x v="3"/>
    <x v="5"/>
    <x v="2"/>
    <x v="1"/>
    <x v="0"/>
    <x v="0"/>
    <x v="1"/>
    <x v="3"/>
    <x v="0"/>
    <x v="2"/>
  </r>
  <r>
    <x v="96"/>
    <x v="16"/>
    <x v="2"/>
    <x v="92"/>
    <n v="194.70000000000002"/>
    <x v="3"/>
    <x v="7"/>
    <x v="1"/>
    <x v="0"/>
    <x v="0"/>
    <x v="0"/>
    <x v="2"/>
    <x v="6"/>
    <x v="0"/>
    <x v="1"/>
  </r>
  <r>
    <x v="97"/>
    <x v="9"/>
    <x v="1"/>
    <x v="93"/>
    <n v="101"/>
    <x v="3"/>
    <x v="0"/>
    <x v="1"/>
    <x v="1"/>
    <x v="0"/>
    <x v="0"/>
    <x v="22"/>
    <x v="1"/>
    <x v="0"/>
    <x v="1"/>
  </r>
  <r>
    <x v="98"/>
    <x v="11"/>
    <x v="3"/>
    <x v="94"/>
    <n v="441"/>
    <x v="3"/>
    <x v="4"/>
    <x v="1"/>
    <x v="3"/>
    <x v="2"/>
    <x v="0"/>
    <x v="3"/>
    <x v="2"/>
    <x v="0"/>
    <x v="1"/>
  </r>
  <r>
    <x v="99"/>
    <x v="2"/>
    <x v="2"/>
    <x v="95"/>
    <n v="280.79999999999995"/>
    <x v="3"/>
    <x v="10"/>
    <x v="2"/>
    <x v="0"/>
    <x v="2"/>
    <x v="0"/>
    <x v="3"/>
    <x v="10"/>
    <x v="0"/>
    <x v="2"/>
  </r>
  <r>
    <x v="100"/>
    <x v="5"/>
    <x v="17"/>
    <x v="50"/>
    <n v="1242"/>
    <x v="3"/>
    <x v="6"/>
    <x v="1"/>
    <x v="2"/>
    <x v="2"/>
    <x v="0"/>
    <x v="3"/>
    <x v="5"/>
    <x v="0"/>
    <x v="1"/>
  </r>
  <r>
    <x v="101"/>
    <x v="2"/>
    <x v="1"/>
    <x v="96"/>
    <n v="320"/>
    <x v="4"/>
    <x v="0"/>
    <x v="1"/>
    <x v="2"/>
    <x v="2"/>
    <x v="0"/>
    <x v="5"/>
    <x v="3"/>
    <x v="1"/>
    <x v="1"/>
  </r>
  <r>
    <x v="102"/>
    <x v="19"/>
    <x v="5"/>
    <x v="97"/>
    <n v="115.5"/>
    <x v="4"/>
    <x v="6"/>
    <x v="2"/>
    <x v="4"/>
    <x v="0"/>
    <x v="0"/>
    <x v="8"/>
    <x v="2"/>
    <x v="1"/>
    <x v="2"/>
  </r>
  <r>
    <x v="103"/>
    <x v="10"/>
    <x v="1"/>
    <x v="98"/>
    <n v="106"/>
    <x v="4"/>
    <x v="5"/>
    <x v="1"/>
    <x v="2"/>
    <x v="4"/>
    <x v="0"/>
    <x v="17"/>
    <x v="7"/>
    <x v="1"/>
    <x v="1"/>
  </r>
  <r>
    <x v="104"/>
    <x v="8"/>
    <x v="2"/>
    <x v="99"/>
    <n v="55.5"/>
    <x v="4"/>
    <x v="9"/>
    <x v="2"/>
    <x v="1"/>
    <x v="2"/>
    <x v="0"/>
    <x v="11"/>
    <x v="0"/>
    <x v="1"/>
    <x v="2"/>
  </r>
  <r>
    <x v="105"/>
    <x v="16"/>
    <x v="2"/>
    <x v="100"/>
    <n v="253.5"/>
    <x v="4"/>
    <x v="4"/>
    <x v="2"/>
    <x v="4"/>
    <x v="1"/>
    <x v="0"/>
    <x v="13"/>
    <x v="1"/>
    <x v="1"/>
    <x v="2"/>
  </r>
  <r>
    <x v="106"/>
    <x v="15"/>
    <x v="3"/>
    <x v="63"/>
    <n v="218.4"/>
    <x v="4"/>
    <x v="5"/>
    <x v="2"/>
    <x v="2"/>
    <x v="2"/>
    <x v="0"/>
    <x v="3"/>
    <x v="7"/>
    <x v="1"/>
    <x v="2"/>
  </r>
  <r>
    <x v="107"/>
    <x v="8"/>
    <x v="16"/>
    <x v="101"/>
    <n v="586.80000000000007"/>
    <x v="4"/>
    <x v="0"/>
    <x v="1"/>
    <x v="1"/>
    <x v="1"/>
    <x v="0"/>
    <x v="3"/>
    <x v="3"/>
    <x v="1"/>
    <x v="1"/>
  </r>
  <r>
    <x v="108"/>
    <x v="10"/>
    <x v="12"/>
    <x v="102"/>
    <n v="181.6"/>
    <x v="4"/>
    <x v="4"/>
    <x v="1"/>
    <x v="1"/>
    <x v="0"/>
    <x v="0"/>
    <x v="3"/>
    <x v="1"/>
    <x v="1"/>
    <x v="1"/>
  </r>
  <r>
    <x v="109"/>
    <x v="2"/>
    <x v="4"/>
    <x v="103"/>
    <n v="1440"/>
    <x v="4"/>
    <x v="0"/>
    <x v="2"/>
    <x v="2"/>
    <x v="4"/>
    <x v="0"/>
    <x v="3"/>
    <x v="3"/>
    <x v="1"/>
    <x v="2"/>
  </r>
  <r>
    <x v="110"/>
    <x v="0"/>
    <x v="12"/>
    <x v="104"/>
    <n v="75.599999999999994"/>
    <x v="4"/>
    <x v="4"/>
    <x v="1"/>
    <x v="0"/>
    <x v="2"/>
    <x v="0"/>
    <x v="3"/>
    <x v="1"/>
    <x v="1"/>
    <x v="1"/>
  </r>
  <r>
    <x v="111"/>
    <x v="4"/>
    <x v="0"/>
    <x v="34"/>
    <n v="32"/>
    <x v="4"/>
    <x v="4"/>
    <x v="2"/>
    <x v="4"/>
    <x v="0"/>
    <x v="0"/>
    <x v="3"/>
    <x v="1"/>
    <x v="1"/>
    <x v="2"/>
  </r>
  <r>
    <x v="112"/>
    <x v="7"/>
    <x v="1"/>
    <x v="105"/>
    <n v="74.599999999999994"/>
    <x v="4"/>
    <x v="0"/>
    <x v="1"/>
    <x v="2"/>
    <x v="0"/>
    <x v="0"/>
    <x v="3"/>
    <x v="3"/>
    <x v="1"/>
    <x v="1"/>
  </r>
  <r>
    <x v="113"/>
    <x v="18"/>
    <x v="0"/>
    <x v="106"/>
    <n v="119.8"/>
    <x v="4"/>
    <x v="0"/>
    <x v="1"/>
    <x v="1"/>
    <x v="1"/>
    <x v="0"/>
    <x v="3"/>
    <x v="3"/>
    <x v="1"/>
    <x v="1"/>
  </r>
  <r>
    <x v="114"/>
    <x v="10"/>
    <x v="1"/>
    <x v="23"/>
    <n v="52.8"/>
    <x v="4"/>
    <x v="6"/>
    <x v="1"/>
    <x v="2"/>
    <x v="0"/>
    <x v="0"/>
    <x v="3"/>
    <x v="2"/>
    <x v="1"/>
    <x v="1"/>
  </r>
  <r>
    <x v="115"/>
    <x v="6"/>
    <x v="13"/>
    <x v="107"/>
    <n v="459"/>
    <x v="4"/>
    <x v="0"/>
    <x v="2"/>
    <x v="1"/>
    <x v="1"/>
    <x v="0"/>
    <x v="3"/>
    <x v="3"/>
    <x v="1"/>
    <x v="2"/>
  </r>
  <r>
    <x v="116"/>
    <x v="4"/>
    <x v="7"/>
    <x v="108"/>
    <n v="457"/>
    <x v="4"/>
    <x v="0"/>
    <x v="2"/>
    <x v="2"/>
    <x v="0"/>
    <x v="0"/>
    <x v="24"/>
    <x v="3"/>
    <x v="1"/>
    <x v="2"/>
  </r>
  <r>
    <x v="117"/>
    <x v="1"/>
    <x v="4"/>
    <x v="109"/>
    <n v="1111.1999999999998"/>
    <x v="4"/>
    <x v="4"/>
    <x v="2"/>
    <x v="2"/>
    <x v="0"/>
    <x v="0"/>
    <x v="25"/>
    <x v="1"/>
    <x v="1"/>
    <x v="2"/>
  </r>
  <r>
    <x v="118"/>
    <x v="6"/>
    <x v="13"/>
    <x v="110"/>
    <n v="360.6"/>
    <x v="4"/>
    <x v="0"/>
    <x v="1"/>
    <x v="1"/>
    <x v="0"/>
    <x v="0"/>
    <x v="23"/>
    <x v="3"/>
    <x v="1"/>
    <x v="1"/>
  </r>
  <r>
    <x v="119"/>
    <x v="1"/>
    <x v="2"/>
    <x v="111"/>
    <n v="219"/>
    <x v="4"/>
    <x v="0"/>
    <x v="2"/>
    <x v="3"/>
    <x v="1"/>
    <x v="0"/>
    <x v="6"/>
    <x v="3"/>
    <x v="1"/>
    <x v="2"/>
  </r>
  <r>
    <x v="120"/>
    <x v="6"/>
    <x v="2"/>
    <x v="112"/>
    <n v="132.89999999999998"/>
    <x v="4"/>
    <x v="8"/>
    <x v="0"/>
    <x v="2"/>
    <x v="2"/>
    <x v="0"/>
    <x v="6"/>
    <x v="5"/>
    <x v="1"/>
    <x v="0"/>
  </r>
  <r>
    <x v="121"/>
    <x v="6"/>
    <x v="2"/>
    <x v="113"/>
    <n v="189.89999999999998"/>
    <x v="4"/>
    <x v="0"/>
    <x v="1"/>
    <x v="2"/>
    <x v="0"/>
    <x v="0"/>
    <x v="6"/>
    <x v="3"/>
    <x v="1"/>
    <x v="1"/>
  </r>
  <r>
    <x v="122"/>
    <x v="12"/>
    <x v="0"/>
    <x v="114"/>
    <n v="66.8"/>
    <x v="4"/>
    <x v="0"/>
    <x v="2"/>
    <x v="1"/>
    <x v="0"/>
    <x v="0"/>
    <x v="6"/>
    <x v="3"/>
    <x v="1"/>
    <x v="2"/>
  </r>
  <r>
    <x v="123"/>
    <x v="2"/>
    <x v="1"/>
    <x v="115"/>
    <n v="119.4"/>
    <x v="4"/>
    <x v="0"/>
    <x v="2"/>
    <x v="0"/>
    <x v="0"/>
    <x v="0"/>
    <x v="7"/>
    <x v="3"/>
    <x v="1"/>
    <x v="2"/>
  </r>
  <r>
    <x v="124"/>
    <x v="1"/>
    <x v="13"/>
    <x v="116"/>
    <n v="552"/>
    <x v="4"/>
    <x v="4"/>
    <x v="1"/>
    <x v="0"/>
    <x v="4"/>
    <x v="0"/>
    <x v="7"/>
    <x v="1"/>
    <x v="1"/>
    <x v="1"/>
  </r>
  <r>
    <x v="125"/>
    <x v="7"/>
    <x v="1"/>
    <x v="117"/>
    <n v="175.2"/>
    <x v="4"/>
    <x v="4"/>
    <x v="1"/>
    <x v="1"/>
    <x v="1"/>
    <x v="0"/>
    <x v="8"/>
    <x v="1"/>
    <x v="1"/>
    <x v="1"/>
  </r>
  <r>
    <x v="126"/>
    <x v="6"/>
    <x v="2"/>
    <x v="100"/>
    <n v="253.5"/>
    <x v="4"/>
    <x v="0"/>
    <x v="2"/>
    <x v="1"/>
    <x v="1"/>
    <x v="0"/>
    <x v="8"/>
    <x v="3"/>
    <x v="1"/>
    <x v="2"/>
  </r>
  <r>
    <x v="127"/>
    <x v="1"/>
    <x v="1"/>
    <x v="118"/>
    <n v="232.6"/>
    <x v="5"/>
    <x v="6"/>
    <x v="1"/>
    <x v="2"/>
    <x v="2"/>
    <x v="0"/>
    <x v="8"/>
    <x v="1"/>
    <x v="1"/>
    <x v="1"/>
  </r>
  <r>
    <x v="128"/>
    <x v="6"/>
    <x v="9"/>
    <x v="119"/>
    <n v="263.5"/>
    <x v="5"/>
    <x v="9"/>
    <x v="1"/>
    <x v="0"/>
    <x v="0"/>
    <x v="0"/>
    <x v="8"/>
    <x v="5"/>
    <x v="1"/>
    <x v="1"/>
  </r>
  <r>
    <x v="129"/>
    <x v="16"/>
    <x v="2"/>
    <x v="120"/>
    <n v="102.60000000000001"/>
    <x v="5"/>
    <x v="4"/>
    <x v="1"/>
    <x v="0"/>
    <x v="2"/>
    <x v="0"/>
    <x v="26"/>
    <x v="3"/>
    <x v="1"/>
    <x v="1"/>
  </r>
  <r>
    <x v="130"/>
    <x v="9"/>
    <x v="0"/>
    <x v="121"/>
    <n v="23.3"/>
    <x v="5"/>
    <x v="11"/>
    <x v="3"/>
    <x v="2"/>
    <x v="2"/>
    <x v="0"/>
    <x v="9"/>
    <x v="8"/>
    <x v="1"/>
    <x v="3"/>
  </r>
  <r>
    <x v="131"/>
    <x v="0"/>
    <x v="18"/>
    <x v="122"/>
    <n v="673.4"/>
    <x v="5"/>
    <x v="8"/>
    <x v="2"/>
    <x v="4"/>
    <x v="1"/>
    <x v="0"/>
    <x v="9"/>
    <x v="2"/>
    <x v="1"/>
    <x v="2"/>
  </r>
  <r>
    <x v="132"/>
    <x v="6"/>
    <x v="19"/>
    <x v="123"/>
    <n v="1592.1"/>
    <x v="5"/>
    <x v="4"/>
    <x v="1"/>
    <x v="1"/>
    <x v="2"/>
    <x v="0"/>
    <x v="9"/>
    <x v="3"/>
    <x v="1"/>
    <x v="1"/>
  </r>
  <r>
    <x v="133"/>
    <x v="5"/>
    <x v="2"/>
    <x v="124"/>
    <n v="227.39999999999998"/>
    <x v="5"/>
    <x v="7"/>
    <x v="3"/>
    <x v="1"/>
    <x v="0"/>
    <x v="0"/>
    <x v="18"/>
    <x v="0"/>
    <x v="1"/>
    <x v="3"/>
  </r>
  <r>
    <x v="134"/>
    <x v="1"/>
    <x v="11"/>
    <x v="125"/>
    <n v="404.09999999999997"/>
    <x v="5"/>
    <x v="8"/>
    <x v="2"/>
    <x v="2"/>
    <x v="2"/>
    <x v="0"/>
    <x v="2"/>
    <x v="2"/>
    <x v="1"/>
    <x v="2"/>
  </r>
  <r>
    <x v="135"/>
    <x v="11"/>
    <x v="1"/>
    <x v="126"/>
    <n v="97.6"/>
    <x v="5"/>
    <x v="6"/>
    <x v="2"/>
    <x v="3"/>
    <x v="0"/>
    <x v="0"/>
    <x v="27"/>
    <x v="1"/>
    <x v="1"/>
    <x v="2"/>
  </r>
  <r>
    <x v="136"/>
    <x v="15"/>
    <x v="0"/>
    <x v="127"/>
    <n v="20.3"/>
    <x v="5"/>
    <x v="4"/>
    <x v="2"/>
    <x v="0"/>
    <x v="2"/>
    <x v="0"/>
    <x v="22"/>
    <x v="3"/>
    <x v="1"/>
    <x v="2"/>
  </r>
  <r>
    <x v="137"/>
    <x v="5"/>
    <x v="3"/>
    <x v="128"/>
    <n v="254.79999999999998"/>
    <x v="5"/>
    <x v="8"/>
    <x v="2"/>
    <x v="0"/>
    <x v="1"/>
    <x v="0"/>
    <x v="3"/>
    <x v="2"/>
    <x v="1"/>
    <x v="2"/>
  </r>
  <r>
    <x v="138"/>
    <x v="0"/>
    <x v="0"/>
    <x v="129"/>
    <n v="19"/>
    <x v="5"/>
    <x v="7"/>
    <x v="2"/>
    <x v="1"/>
    <x v="2"/>
    <x v="0"/>
    <x v="3"/>
    <x v="0"/>
    <x v="1"/>
    <x v="2"/>
  </r>
  <r>
    <x v="139"/>
    <x v="8"/>
    <x v="0"/>
    <x v="130"/>
    <n v="17.8"/>
    <x v="5"/>
    <x v="0"/>
    <x v="1"/>
    <x v="0"/>
    <x v="0"/>
    <x v="0"/>
    <x v="3"/>
    <x v="7"/>
    <x v="1"/>
    <x v="1"/>
  </r>
  <r>
    <x v="140"/>
    <x v="2"/>
    <x v="13"/>
    <x v="131"/>
    <n v="837.59999999999991"/>
    <x v="5"/>
    <x v="8"/>
    <x v="1"/>
    <x v="0"/>
    <x v="0"/>
    <x v="0"/>
    <x v="3"/>
    <x v="2"/>
    <x v="1"/>
    <x v="1"/>
  </r>
  <r>
    <x v="141"/>
    <x v="9"/>
    <x v="0"/>
    <x v="132"/>
    <n v="31.7"/>
    <x v="5"/>
    <x v="0"/>
    <x v="0"/>
    <x v="0"/>
    <x v="0"/>
    <x v="0"/>
    <x v="3"/>
    <x v="7"/>
    <x v="1"/>
    <x v="0"/>
  </r>
  <r>
    <x v="142"/>
    <x v="8"/>
    <x v="8"/>
    <x v="133"/>
    <n v="210.4"/>
    <x v="5"/>
    <x v="8"/>
    <x v="2"/>
    <x v="4"/>
    <x v="4"/>
    <x v="0"/>
    <x v="3"/>
    <x v="2"/>
    <x v="1"/>
    <x v="2"/>
  </r>
  <r>
    <x v="143"/>
    <x v="4"/>
    <x v="1"/>
    <x v="134"/>
    <n v="95.6"/>
    <x v="5"/>
    <x v="4"/>
    <x v="0"/>
    <x v="0"/>
    <x v="0"/>
    <x v="0"/>
    <x v="3"/>
    <x v="3"/>
    <x v="1"/>
    <x v="0"/>
  </r>
  <r>
    <x v="144"/>
    <x v="9"/>
    <x v="2"/>
    <x v="135"/>
    <n v="208.20000000000002"/>
    <x v="5"/>
    <x v="9"/>
    <x v="2"/>
    <x v="0"/>
    <x v="0"/>
    <x v="0"/>
    <x v="3"/>
    <x v="5"/>
    <x v="1"/>
    <x v="2"/>
  </r>
  <r>
    <x v="145"/>
    <x v="18"/>
    <x v="4"/>
    <x v="136"/>
    <n v="309.60000000000002"/>
    <x v="5"/>
    <x v="4"/>
    <x v="1"/>
    <x v="4"/>
    <x v="4"/>
    <x v="0"/>
    <x v="3"/>
    <x v="3"/>
    <x v="1"/>
    <x v="1"/>
  </r>
  <r>
    <x v="146"/>
    <x v="0"/>
    <x v="12"/>
    <x v="23"/>
    <n v="105.6"/>
    <x v="5"/>
    <x v="4"/>
    <x v="1"/>
    <x v="1"/>
    <x v="2"/>
    <x v="0"/>
    <x v="3"/>
    <x v="3"/>
    <x v="1"/>
    <x v="1"/>
  </r>
  <r>
    <x v="147"/>
    <x v="8"/>
    <x v="12"/>
    <x v="137"/>
    <n v="62.8"/>
    <x v="5"/>
    <x v="4"/>
    <x v="1"/>
    <x v="2"/>
    <x v="0"/>
    <x v="0"/>
    <x v="3"/>
    <x v="3"/>
    <x v="1"/>
    <x v="1"/>
  </r>
  <r>
    <x v="148"/>
    <x v="8"/>
    <x v="0"/>
    <x v="138"/>
    <n v="39.700000000000003"/>
    <x v="5"/>
    <x v="9"/>
    <x v="1"/>
    <x v="0"/>
    <x v="0"/>
    <x v="0"/>
    <x v="3"/>
    <x v="5"/>
    <x v="1"/>
    <x v="1"/>
  </r>
  <r>
    <x v="149"/>
    <x v="10"/>
    <x v="12"/>
    <x v="16"/>
    <n v="124.4"/>
    <x v="5"/>
    <x v="6"/>
    <x v="2"/>
    <x v="2"/>
    <x v="1"/>
    <x v="0"/>
    <x v="3"/>
    <x v="1"/>
    <x v="1"/>
    <x v="2"/>
  </r>
  <r>
    <x v="150"/>
    <x v="13"/>
    <x v="20"/>
    <x v="139"/>
    <n v="351"/>
    <x v="5"/>
    <x v="11"/>
    <x v="1"/>
    <x v="0"/>
    <x v="0"/>
    <x v="0"/>
    <x v="3"/>
    <x v="8"/>
    <x v="1"/>
    <x v="1"/>
  </r>
  <r>
    <x v="151"/>
    <x v="1"/>
    <x v="12"/>
    <x v="140"/>
    <n v="228.4"/>
    <x v="6"/>
    <x v="6"/>
    <x v="1"/>
    <x v="2"/>
    <x v="0"/>
    <x v="0"/>
    <x v="25"/>
    <x v="3"/>
    <x v="1"/>
    <x v="1"/>
  </r>
  <r>
    <x v="152"/>
    <x v="2"/>
    <x v="9"/>
    <x v="141"/>
    <n v="449.5"/>
    <x v="6"/>
    <x v="4"/>
    <x v="2"/>
    <x v="0"/>
    <x v="3"/>
    <x v="0"/>
    <x v="23"/>
    <x v="7"/>
    <x v="1"/>
    <x v="2"/>
  </r>
  <r>
    <x v="153"/>
    <x v="10"/>
    <x v="3"/>
    <x v="142"/>
    <n v="336.7"/>
    <x v="6"/>
    <x v="8"/>
    <x v="2"/>
    <x v="1"/>
    <x v="2"/>
    <x v="0"/>
    <x v="6"/>
    <x v="1"/>
    <x v="1"/>
    <x v="2"/>
  </r>
  <r>
    <x v="154"/>
    <x v="8"/>
    <x v="1"/>
    <x v="143"/>
    <n v="58.6"/>
    <x v="6"/>
    <x v="4"/>
    <x v="2"/>
    <x v="1"/>
    <x v="1"/>
    <x v="0"/>
    <x v="6"/>
    <x v="7"/>
    <x v="1"/>
    <x v="2"/>
  </r>
  <r>
    <x v="155"/>
    <x v="8"/>
    <x v="12"/>
    <x v="144"/>
    <n v="115.2"/>
    <x v="6"/>
    <x v="6"/>
    <x v="2"/>
    <x v="0"/>
    <x v="4"/>
    <x v="0"/>
    <x v="6"/>
    <x v="3"/>
    <x v="1"/>
    <x v="2"/>
  </r>
  <r>
    <x v="156"/>
    <x v="10"/>
    <x v="9"/>
    <x v="145"/>
    <n v="202.5"/>
    <x v="6"/>
    <x v="7"/>
    <x v="2"/>
    <x v="3"/>
    <x v="0"/>
    <x v="0"/>
    <x v="6"/>
    <x v="5"/>
    <x v="1"/>
    <x v="2"/>
  </r>
  <r>
    <x v="157"/>
    <x v="18"/>
    <x v="21"/>
    <x v="146"/>
    <n v="911.39999999999986"/>
    <x v="6"/>
    <x v="6"/>
    <x v="2"/>
    <x v="4"/>
    <x v="0"/>
    <x v="0"/>
    <x v="7"/>
    <x v="3"/>
    <x v="1"/>
    <x v="2"/>
  </r>
  <r>
    <x v="158"/>
    <x v="8"/>
    <x v="12"/>
    <x v="7"/>
    <n v="161.19999999999999"/>
    <x v="6"/>
    <x v="12"/>
    <x v="2"/>
    <x v="2"/>
    <x v="0"/>
    <x v="0"/>
    <x v="7"/>
    <x v="0"/>
    <x v="1"/>
    <x v="2"/>
  </r>
  <r>
    <x v="159"/>
    <x v="6"/>
    <x v="9"/>
    <x v="147"/>
    <n v="259"/>
    <x v="6"/>
    <x v="6"/>
    <x v="1"/>
    <x v="2"/>
    <x v="2"/>
    <x v="0"/>
    <x v="8"/>
    <x v="3"/>
    <x v="1"/>
    <x v="1"/>
  </r>
  <r>
    <x v="160"/>
    <x v="6"/>
    <x v="2"/>
    <x v="148"/>
    <n v="183.89999999999998"/>
    <x v="6"/>
    <x v="6"/>
    <x v="2"/>
    <x v="3"/>
    <x v="0"/>
    <x v="0"/>
    <x v="8"/>
    <x v="3"/>
    <x v="1"/>
    <x v="2"/>
  </r>
  <r>
    <x v="161"/>
    <x v="2"/>
    <x v="12"/>
    <x v="149"/>
    <n v="490"/>
    <x v="6"/>
    <x v="6"/>
    <x v="1"/>
    <x v="0"/>
    <x v="0"/>
    <x v="0"/>
    <x v="8"/>
    <x v="3"/>
    <x v="1"/>
    <x v="1"/>
  </r>
  <r>
    <x v="162"/>
    <x v="0"/>
    <x v="11"/>
    <x v="150"/>
    <n v="112.5"/>
    <x v="6"/>
    <x v="6"/>
    <x v="0"/>
    <x v="1"/>
    <x v="2"/>
    <x v="0"/>
    <x v="8"/>
    <x v="3"/>
    <x v="1"/>
    <x v="0"/>
  </r>
  <r>
    <x v="163"/>
    <x v="15"/>
    <x v="8"/>
    <x v="151"/>
    <n v="300"/>
    <x v="6"/>
    <x v="6"/>
    <x v="2"/>
    <x v="0"/>
    <x v="0"/>
    <x v="0"/>
    <x v="9"/>
    <x v="3"/>
    <x v="1"/>
    <x v="2"/>
  </r>
  <r>
    <x v="164"/>
    <x v="6"/>
    <x v="2"/>
    <x v="152"/>
    <n v="120"/>
    <x v="6"/>
    <x v="9"/>
    <x v="1"/>
    <x v="0"/>
    <x v="4"/>
    <x v="0"/>
    <x v="11"/>
    <x v="2"/>
    <x v="1"/>
    <x v="1"/>
  </r>
  <r>
    <x v="165"/>
    <x v="17"/>
    <x v="8"/>
    <x v="153"/>
    <n v="308"/>
    <x v="6"/>
    <x v="12"/>
    <x v="2"/>
    <x v="2"/>
    <x v="1"/>
    <x v="0"/>
    <x v="11"/>
    <x v="0"/>
    <x v="1"/>
    <x v="2"/>
  </r>
  <r>
    <x v="166"/>
    <x v="2"/>
    <x v="1"/>
    <x v="154"/>
    <n v="172.8"/>
    <x v="6"/>
    <x v="8"/>
    <x v="2"/>
    <x v="0"/>
    <x v="0"/>
    <x v="0"/>
    <x v="18"/>
    <x v="1"/>
    <x v="1"/>
    <x v="2"/>
  </r>
  <r>
    <x v="167"/>
    <x v="10"/>
    <x v="0"/>
    <x v="155"/>
    <n v="50.7"/>
    <x v="6"/>
    <x v="7"/>
    <x v="2"/>
    <x v="1"/>
    <x v="0"/>
    <x v="0"/>
    <x v="18"/>
    <x v="5"/>
    <x v="1"/>
    <x v="2"/>
  </r>
  <r>
    <x v="168"/>
    <x v="10"/>
    <x v="1"/>
    <x v="156"/>
    <n v="122"/>
    <x v="6"/>
    <x v="13"/>
    <x v="2"/>
    <x v="4"/>
    <x v="1"/>
    <x v="0"/>
    <x v="18"/>
    <x v="11"/>
    <x v="1"/>
    <x v="2"/>
  </r>
  <r>
    <x v="169"/>
    <x v="4"/>
    <x v="1"/>
    <x v="157"/>
    <n v="39.799999999999997"/>
    <x v="6"/>
    <x v="9"/>
    <x v="2"/>
    <x v="1"/>
    <x v="0"/>
    <x v="0"/>
    <x v="28"/>
    <x v="2"/>
    <x v="1"/>
    <x v="2"/>
  </r>
  <r>
    <x v="170"/>
    <x v="5"/>
    <x v="0"/>
    <x v="158"/>
    <n v="78.3"/>
    <x v="6"/>
    <x v="4"/>
    <x v="2"/>
    <x v="0"/>
    <x v="2"/>
    <x v="0"/>
    <x v="1"/>
    <x v="7"/>
    <x v="1"/>
    <x v="2"/>
  </r>
  <r>
    <x v="171"/>
    <x v="0"/>
    <x v="10"/>
    <x v="159"/>
    <n v="197.6"/>
    <x v="6"/>
    <x v="8"/>
    <x v="1"/>
    <x v="0"/>
    <x v="2"/>
    <x v="0"/>
    <x v="2"/>
    <x v="1"/>
    <x v="1"/>
    <x v="1"/>
  </r>
  <r>
    <x v="172"/>
    <x v="10"/>
    <x v="0"/>
    <x v="160"/>
    <n v="36.1"/>
    <x v="6"/>
    <x v="9"/>
    <x v="1"/>
    <x v="3"/>
    <x v="2"/>
    <x v="0"/>
    <x v="3"/>
    <x v="2"/>
    <x v="1"/>
    <x v="1"/>
  </r>
  <r>
    <x v="173"/>
    <x v="14"/>
    <x v="1"/>
    <x v="161"/>
    <n v="34.6"/>
    <x v="6"/>
    <x v="8"/>
    <x v="2"/>
    <x v="1"/>
    <x v="2"/>
    <x v="0"/>
    <x v="3"/>
    <x v="1"/>
    <x v="1"/>
    <x v="2"/>
  </r>
  <r>
    <x v="174"/>
    <x v="10"/>
    <x v="1"/>
    <x v="162"/>
    <n v="61"/>
    <x v="6"/>
    <x v="6"/>
    <x v="2"/>
    <x v="1"/>
    <x v="2"/>
    <x v="0"/>
    <x v="3"/>
    <x v="3"/>
    <x v="1"/>
    <x v="2"/>
  </r>
  <r>
    <x v="175"/>
    <x v="18"/>
    <x v="22"/>
    <x v="163"/>
    <n v="4346.2"/>
    <x v="6"/>
    <x v="4"/>
    <x v="2"/>
    <x v="2"/>
    <x v="0"/>
    <x v="0"/>
    <x v="3"/>
    <x v="7"/>
    <x v="1"/>
    <x v="2"/>
  </r>
  <r>
    <x v="176"/>
    <x v="3"/>
    <x v="0"/>
    <x v="164"/>
    <n v="76.099999999999994"/>
    <x v="6"/>
    <x v="4"/>
    <x v="2"/>
    <x v="2"/>
    <x v="1"/>
    <x v="0"/>
    <x v="3"/>
    <x v="7"/>
    <x v="1"/>
    <x v="2"/>
  </r>
  <r>
    <x v="177"/>
    <x v="15"/>
    <x v="15"/>
    <x v="120"/>
    <n v="444.6"/>
    <x v="6"/>
    <x v="6"/>
    <x v="1"/>
    <x v="0"/>
    <x v="0"/>
    <x v="0"/>
    <x v="3"/>
    <x v="3"/>
    <x v="1"/>
    <x v="1"/>
  </r>
  <r>
    <x v="178"/>
    <x v="8"/>
    <x v="9"/>
    <x v="165"/>
    <n v="151.5"/>
    <x v="6"/>
    <x v="12"/>
    <x v="2"/>
    <x v="4"/>
    <x v="0"/>
    <x v="0"/>
    <x v="3"/>
    <x v="0"/>
    <x v="1"/>
    <x v="2"/>
  </r>
  <r>
    <x v="179"/>
    <x v="6"/>
    <x v="9"/>
    <x v="166"/>
    <n v="262.5"/>
    <x v="6"/>
    <x v="7"/>
    <x v="0"/>
    <x v="3"/>
    <x v="0"/>
    <x v="0"/>
    <x v="3"/>
    <x v="5"/>
    <x v="1"/>
    <x v="0"/>
  </r>
  <r>
    <x v="180"/>
    <x v="9"/>
    <x v="5"/>
    <x v="167"/>
    <n v="315.7"/>
    <x v="6"/>
    <x v="6"/>
    <x v="2"/>
    <x v="2"/>
    <x v="0"/>
    <x v="0"/>
    <x v="3"/>
    <x v="3"/>
    <x v="1"/>
    <x v="2"/>
  </r>
  <r>
    <x v="181"/>
    <x v="7"/>
    <x v="3"/>
    <x v="168"/>
    <n v="364"/>
    <x v="6"/>
    <x v="6"/>
    <x v="1"/>
    <x v="1"/>
    <x v="4"/>
    <x v="0"/>
    <x v="3"/>
    <x v="3"/>
    <x v="1"/>
    <x v="1"/>
  </r>
  <r>
    <x v="182"/>
    <x v="0"/>
    <x v="0"/>
    <x v="169"/>
    <n v="13.3"/>
    <x v="7"/>
    <x v="12"/>
    <x v="2"/>
    <x v="2"/>
    <x v="1"/>
    <x v="0"/>
    <x v="3"/>
    <x v="5"/>
    <x v="1"/>
    <x v="2"/>
  </r>
  <r>
    <x v="183"/>
    <x v="0"/>
    <x v="2"/>
    <x v="137"/>
    <n v="47.099999999999994"/>
    <x v="7"/>
    <x v="8"/>
    <x v="2"/>
    <x v="1"/>
    <x v="0"/>
    <x v="0"/>
    <x v="29"/>
    <x v="3"/>
    <x v="1"/>
    <x v="2"/>
  </r>
  <r>
    <x v="184"/>
    <x v="8"/>
    <x v="1"/>
    <x v="170"/>
    <n v="51.2"/>
    <x v="7"/>
    <x v="8"/>
    <x v="1"/>
    <x v="0"/>
    <x v="2"/>
    <x v="0"/>
    <x v="23"/>
    <x v="3"/>
    <x v="1"/>
    <x v="1"/>
  </r>
  <r>
    <x v="185"/>
    <x v="8"/>
    <x v="0"/>
    <x v="171"/>
    <n v="43.4"/>
    <x v="7"/>
    <x v="14"/>
    <x v="1"/>
    <x v="0"/>
    <x v="0"/>
    <x v="0"/>
    <x v="6"/>
    <x v="0"/>
    <x v="1"/>
    <x v="1"/>
  </r>
  <r>
    <x v="186"/>
    <x v="11"/>
    <x v="11"/>
    <x v="172"/>
    <n v="300.59999999999997"/>
    <x v="7"/>
    <x v="6"/>
    <x v="2"/>
    <x v="0"/>
    <x v="0"/>
    <x v="0"/>
    <x v="8"/>
    <x v="7"/>
    <x v="1"/>
    <x v="2"/>
  </r>
  <r>
    <x v="187"/>
    <x v="8"/>
    <x v="10"/>
    <x v="173"/>
    <n v="1045"/>
    <x v="7"/>
    <x v="8"/>
    <x v="2"/>
    <x v="1"/>
    <x v="2"/>
    <x v="0"/>
    <x v="8"/>
    <x v="3"/>
    <x v="1"/>
    <x v="2"/>
  </r>
  <r>
    <x v="188"/>
    <x v="8"/>
    <x v="2"/>
    <x v="174"/>
    <n v="70.800000000000011"/>
    <x v="7"/>
    <x v="8"/>
    <x v="1"/>
    <x v="0"/>
    <x v="2"/>
    <x v="0"/>
    <x v="8"/>
    <x v="3"/>
    <x v="1"/>
    <x v="1"/>
  </r>
  <r>
    <x v="189"/>
    <x v="12"/>
    <x v="11"/>
    <x v="175"/>
    <n v="936"/>
    <x v="7"/>
    <x v="9"/>
    <x v="2"/>
    <x v="2"/>
    <x v="2"/>
    <x v="0"/>
    <x v="17"/>
    <x v="1"/>
    <x v="1"/>
    <x v="2"/>
  </r>
  <r>
    <x v="190"/>
    <x v="6"/>
    <x v="1"/>
    <x v="147"/>
    <n v="103.6"/>
    <x v="7"/>
    <x v="12"/>
    <x v="0"/>
    <x v="0"/>
    <x v="2"/>
    <x v="0"/>
    <x v="10"/>
    <x v="5"/>
    <x v="1"/>
    <x v="0"/>
  </r>
  <r>
    <x v="191"/>
    <x v="10"/>
    <x v="9"/>
    <x v="176"/>
    <n v="172.5"/>
    <x v="7"/>
    <x v="9"/>
    <x v="0"/>
    <x v="2"/>
    <x v="2"/>
    <x v="0"/>
    <x v="11"/>
    <x v="1"/>
    <x v="1"/>
    <x v="0"/>
  </r>
  <r>
    <x v="192"/>
    <x v="6"/>
    <x v="1"/>
    <x v="147"/>
    <n v="103.6"/>
    <x v="7"/>
    <x v="9"/>
    <x v="1"/>
    <x v="1"/>
    <x v="2"/>
    <x v="0"/>
    <x v="30"/>
    <x v="1"/>
    <x v="1"/>
    <x v="1"/>
  </r>
  <r>
    <x v="193"/>
    <x v="18"/>
    <x v="23"/>
    <x v="177"/>
    <n v="5654.5"/>
    <x v="7"/>
    <x v="8"/>
    <x v="2"/>
    <x v="0"/>
    <x v="2"/>
    <x v="0"/>
    <x v="18"/>
    <x v="3"/>
    <x v="1"/>
    <x v="2"/>
  </r>
  <r>
    <x v="194"/>
    <x v="8"/>
    <x v="3"/>
    <x v="134"/>
    <n v="334.59999999999997"/>
    <x v="7"/>
    <x v="6"/>
    <x v="2"/>
    <x v="0"/>
    <x v="0"/>
    <x v="0"/>
    <x v="19"/>
    <x v="7"/>
    <x v="1"/>
    <x v="2"/>
  </r>
  <r>
    <x v="195"/>
    <x v="0"/>
    <x v="1"/>
    <x v="178"/>
    <n v="20.399999999999999"/>
    <x v="7"/>
    <x v="9"/>
    <x v="2"/>
    <x v="0"/>
    <x v="0"/>
    <x v="0"/>
    <x v="19"/>
    <x v="1"/>
    <x v="1"/>
    <x v="2"/>
  </r>
  <r>
    <x v="196"/>
    <x v="8"/>
    <x v="8"/>
    <x v="29"/>
    <n v="328"/>
    <x v="7"/>
    <x v="6"/>
    <x v="2"/>
    <x v="1"/>
    <x v="2"/>
    <x v="0"/>
    <x v="19"/>
    <x v="7"/>
    <x v="1"/>
    <x v="2"/>
  </r>
  <r>
    <x v="197"/>
    <x v="10"/>
    <x v="3"/>
    <x v="179"/>
    <n v="355.59999999999997"/>
    <x v="7"/>
    <x v="7"/>
    <x v="2"/>
    <x v="1"/>
    <x v="0"/>
    <x v="0"/>
    <x v="21"/>
    <x v="2"/>
    <x v="1"/>
    <x v="2"/>
  </r>
  <r>
    <x v="198"/>
    <x v="18"/>
    <x v="2"/>
    <x v="180"/>
    <n v="118.80000000000001"/>
    <x v="7"/>
    <x v="8"/>
    <x v="1"/>
    <x v="2"/>
    <x v="2"/>
    <x v="0"/>
    <x v="1"/>
    <x v="3"/>
    <x v="1"/>
    <x v="1"/>
  </r>
  <r>
    <x v="199"/>
    <x v="5"/>
    <x v="1"/>
    <x v="181"/>
    <n v="139"/>
    <x v="7"/>
    <x v="9"/>
    <x v="1"/>
    <x v="0"/>
    <x v="2"/>
    <x v="0"/>
    <x v="2"/>
    <x v="1"/>
    <x v="1"/>
    <x v="1"/>
  </r>
  <r>
    <x v="200"/>
    <x v="8"/>
    <x v="8"/>
    <x v="101"/>
    <n v="260.8"/>
    <x v="7"/>
    <x v="7"/>
    <x v="1"/>
    <x v="1"/>
    <x v="0"/>
    <x v="0"/>
    <x v="3"/>
    <x v="2"/>
    <x v="1"/>
    <x v="1"/>
  </r>
  <r>
    <x v="201"/>
    <x v="7"/>
    <x v="1"/>
    <x v="182"/>
    <n v="98.2"/>
    <x v="7"/>
    <x v="15"/>
    <x v="1"/>
    <x v="3"/>
    <x v="2"/>
    <x v="0"/>
    <x v="3"/>
    <x v="9"/>
    <x v="1"/>
    <x v="1"/>
  </r>
  <r>
    <x v="202"/>
    <x v="6"/>
    <x v="1"/>
    <x v="183"/>
    <n v="98.8"/>
    <x v="8"/>
    <x v="9"/>
    <x v="2"/>
    <x v="2"/>
    <x v="0"/>
    <x v="0"/>
    <x v="3"/>
    <x v="3"/>
    <x v="1"/>
    <x v="2"/>
  </r>
  <r>
    <x v="203"/>
    <x v="7"/>
    <x v="3"/>
    <x v="146"/>
    <n v="455.69999999999993"/>
    <x v="8"/>
    <x v="12"/>
    <x v="2"/>
    <x v="2"/>
    <x v="2"/>
    <x v="0"/>
    <x v="3"/>
    <x v="2"/>
    <x v="1"/>
    <x v="2"/>
  </r>
  <r>
    <x v="204"/>
    <x v="3"/>
    <x v="1"/>
    <x v="184"/>
    <n v="104.2"/>
    <x v="8"/>
    <x v="14"/>
    <x v="2"/>
    <x v="2"/>
    <x v="0"/>
    <x v="0"/>
    <x v="3"/>
    <x v="5"/>
    <x v="1"/>
    <x v="2"/>
  </r>
  <r>
    <x v="205"/>
    <x v="2"/>
    <x v="12"/>
    <x v="185"/>
    <n v="516.79999999999995"/>
    <x v="8"/>
    <x v="9"/>
    <x v="2"/>
    <x v="1"/>
    <x v="0"/>
    <x v="0"/>
    <x v="3"/>
    <x v="3"/>
    <x v="1"/>
    <x v="2"/>
  </r>
  <r>
    <x v="206"/>
    <x v="1"/>
    <x v="10"/>
    <x v="186"/>
    <n v="1554.2"/>
    <x v="8"/>
    <x v="8"/>
    <x v="2"/>
    <x v="1"/>
    <x v="1"/>
    <x v="0"/>
    <x v="3"/>
    <x v="7"/>
    <x v="1"/>
    <x v="2"/>
  </r>
  <r>
    <x v="207"/>
    <x v="17"/>
    <x v="0"/>
    <x v="187"/>
    <n v="24.9"/>
    <x v="8"/>
    <x v="14"/>
    <x v="2"/>
    <x v="1"/>
    <x v="0"/>
    <x v="0"/>
    <x v="3"/>
    <x v="5"/>
    <x v="1"/>
    <x v="2"/>
  </r>
  <r>
    <x v="208"/>
    <x v="0"/>
    <x v="2"/>
    <x v="183"/>
    <n v="148.19999999999999"/>
    <x v="8"/>
    <x v="12"/>
    <x v="2"/>
    <x v="4"/>
    <x v="4"/>
    <x v="0"/>
    <x v="3"/>
    <x v="2"/>
    <x v="1"/>
    <x v="2"/>
  </r>
  <r>
    <x v="209"/>
    <x v="8"/>
    <x v="1"/>
    <x v="188"/>
    <n v="45.4"/>
    <x v="8"/>
    <x v="9"/>
    <x v="1"/>
    <x v="3"/>
    <x v="2"/>
    <x v="0"/>
    <x v="3"/>
    <x v="3"/>
    <x v="1"/>
    <x v="1"/>
  </r>
  <r>
    <x v="210"/>
    <x v="1"/>
    <x v="0"/>
    <x v="81"/>
    <n v="77.3"/>
    <x v="8"/>
    <x v="8"/>
    <x v="2"/>
    <x v="0"/>
    <x v="2"/>
    <x v="0"/>
    <x v="6"/>
    <x v="7"/>
    <x v="1"/>
    <x v="2"/>
  </r>
  <r>
    <x v="211"/>
    <x v="1"/>
    <x v="9"/>
    <x v="189"/>
    <n v="545.5"/>
    <x v="8"/>
    <x v="12"/>
    <x v="2"/>
    <x v="0"/>
    <x v="0"/>
    <x v="0"/>
    <x v="6"/>
    <x v="2"/>
    <x v="1"/>
    <x v="2"/>
  </r>
  <r>
    <x v="212"/>
    <x v="2"/>
    <x v="12"/>
    <x v="190"/>
    <n v="215.6"/>
    <x v="8"/>
    <x v="9"/>
    <x v="1"/>
    <x v="0"/>
    <x v="1"/>
    <x v="0"/>
    <x v="8"/>
    <x v="3"/>
    <x v="1"/>
    <x v="1"/>
  </r>
  <r>
    <x v="213"/>
    <x v="9"/>
    <x v="18"/>
    <x v="191"/>
    <n v="551.19999999999993"/>
    <x v="8"/>
    <x v="8"/>
    <x v="2"/>
    <x v="0"/>
    <x v="0"/>
    <x v="0"/>
    <x v="9"/>
    <x v="7"/>
    <x v="1"/>
    <x v="2"/>
  </r>
  <r>
    <x v="214"/>
    <x v="16"/>
    <x v="12"/>
    <x v="192"/>
    <n v="276"/>
    <x v="8"/>
    <x v="7"/>
    <x v="2"/>
    <x v="1"/>
    <x v="1"/>
    <x v="0"/>
    <x v="18"/>
    <x v="1"/>
    <x v="1"/>
    <x v="2"/>
  </r>
  <r>
    <x v="215"/>
    <x v="6"/>
    <x v="2"/>
    <x v="193"/>
    <n v="138.60000000000002"/>
    <x v="8"/>
    <x v="7"/>
    <x v="2"/>
    <x v="0"/>
    <x v="2"/>
    <x v="0"/>
    <x v="31"/>
    <x v="1"/>
    <x v="1"/>
    <x v="2"/>
  </r>
  <r>
    <x v="216"/>
    <x v="1"/>
    <x v="9"/>
    <x v="194"/>
    <n v="487"/>
    <x v="8"/>
    <x v="14"/>
    <x v="2"/>
    <x v="4"/>
    <x v="2"/>
    <x v="0"/>
    <x v="21"/>
    <x v="5"/>
    <x v="1"/>
    <x v="2"/>
  </r>
  <r>
    <x v="217"/>
    <x v="8"/>
    <x v="9"/>
    <x v="65"/>
    <n v="105"/>
    <x v="8"/>
    <x v="9"/>
    <x v="1"/>
    <x v="0"/>
    <x v="1"/>
    <x v="0"/>
    <x v="21"/>
    <x v="3"/>
    <x v="1"/>
    <x v="1"/>
  </r>
  <r>
    <x v="218"/>
    <x v="5"/>
    <x v="1"/>
    <x v="195"/>
    <n v="65.400000000000006"/>
    <x v="9"/>
    <x v="14"/>
    <x v="2"/>
    <x v="1"/>
    <x v="0"/>
    <x v="0"/>
    <x v="2"/>
    <x v="2"/>
    <x v="1"/>
    <x v="2"/>
  </r>
  <r>
    <x v="219"/>
    <x v="6"/>
    <x v="12"/>
    <x v="196"/>
    <n v="192"/>
    <x v="9"/>
    <x v="7"/>
    <x v="1"/>
    <x v="3"/>
    <x v="0"/>
    <x v="0"/>
    <x v="3"/>
    <x v="3"/>
    <x v="1"/>
    <x v="1"/>
  </r>
  <r>
    <x v="220"/>
    <x v="6"/>
    <x v="2"/>
    <x v="197"/>
    <n v="204.60000000000002"/>
    <x v="9"/>
    <x v="16"/>
    <x v="0"/>
    <x v="0"/>
    <x v="2"/>
    <x v="0"/>
    <x v="3"/>
    <x v="5"/>
    <x v="1"/>
    <x v="0"/>
  </r>
  <r>
    <x v="221"/>
    <x v="5"/>
    <x v="0"/>
    <x v="102"/>
    <n v="45.4"/>
    <x v="9"/>
    <x v="12"/>
    <x v="1"/>
    <x v="1"/>
    <x v="0"/>
    <x v="0"/>
    <x v="3"/>
    <x v="1"/>
    <x v="1"/>
    <x v="1"/>
  </r>
  <r>
    <x v="222"/>
    <x v="12"/>
    <x v="1"/>
    <x v="190"/>
    <n v="107.8"/>
    <x v="9"/>
    <x v="7"/>
    <x v="2"/>
    <x v="2"/>
    <x v="0"/>
    <x v="0"/>
    <x v="3"/>
    <x v="3"/>
    <x v="1"/>
    <x v="2"/>
  </r>
  <r>
    <x v="223"/>
    <x v="2"/>
    <x v="12"/>
    <x v="198"/>
    <n v="248.4"/>
    <x v="9"/>
    <x v="16"/>
    <x v="2"/>
    <x v="0"/>
    <x v="0"/>
    <x v="0"/>
    <x v="4"/>
    <x v="5"/>
    <x v="1"/>
    <x v="2"/>
  </r>
  <r>
    <x v="224"/>
    <x v="13"/>
    <x v="3"/>
    <x v="199"/>
    <n v="231.70000000000002"/>
    <x v="9"/>
    <x v="11"/>
    <x v="1"/>
    <x v="1"/>
    <x v="0"/>
    <x v="0"/>
    <x v="6"/>
    <x v="0"/>
    <x v="1"/>
    <x v="1"/>
  </r>
  <r>
    <x v="225"/>
    <x v="18"/>
    <x v="9"/>
    <x v="200"/>
    <n v="176"/>
    <x v="9"/>
    <x v="9"/>
    <x v="2"/>
    <x v="1"/>
    <x v="0"/>
    <x v="0"/>
    <x v="6"/>
    <x v="7"/>
    <x v="1"/>
    <x v="2"/>
  </r>
  <r>
    <x v="226"/>
    <x v="9"/>
    <x v="2"/>
    <x v="201"/>
    <n v="96.300000000000011"/>
    <x v="9"/>
    <x v="11"/>
    <x v="1"/>
    <x v="3"/>
    <x v="0"/>
    <x v="0"/>
    <x v="8"/>
    <x v="0"/>
    <x v="1"/>
    <x v="1"/>
  </r>
  <r>
    <x v="227"/>
    <x v="11"/>
    <x v="0"/>
    <x v="202"/>
    <n v="38.1"/>
    <x v="9"/>
    <x v="11"/>
    <x v="2"/>
    <x v="0"/>
    <x v="2"/>
    <x v="0"/>
    <x v="8"/>
    <x v="0"/>
    <x v="1"/>
    <x v="2"/>
  </r>
  <r>
    <x v="228"/>
    <x v="8"/>
    <x v="0"/>
    <x v="203"/>
    <n v="65.2"/>
    <x v="9"/>
    <x v="11"/>
    <x v="2"/>
    <x v="3"/>
    <x v="1"/>
    <x v="0"/>
    <x v="8"/>
    <x v="0"/>
    <x v="1"/>
    <x v="2"/>
  </r>
  <r>
    <x v="229"/>
    <x v="10"/>
    <x v="3"/>
    <x v="204"/>
    <n v="386.40000000000003"/>
    <x v="9"/>
    <x v="7"/>
    <x v="1"/>
    <x v="2"/>
    <x v="0"/>
    <x v="0"/>
    <x v="11"/>
    <x v="3"/>
    <x v="1"/>
    <x v="1"/>
  </r>
  <r>
    <x v="230"/>
    <x v="6"/>
    <x v="0"/>
    <x v="205"/>
    <n v="62"/>
    <x v="9"/>
    <x v="16"/>
    <x v="2"/>
    <x v="0"/>
    <x v="0"/>
    <x v="0"/>
    <x v="11"/>
    <x v="5"/>
    <x v="1"/>
    <x v="2"/>
  </r>
  <r>
    <x v="231"/>
    <x v="7"/>
    <x v="2"/>
    <x v="206"/>
    <n v="137.69999999999999"/>
    <x v="9"/>
    <x v="7"/>
    <x v="2"/>
    <x v="2"/>
    <x v="0"/>
    <x v="0"/>
    <x v="32"/>
    <x v="3"/>
    <x v="1"/>
    <x v="2"/>
  </r>
  <r>
    <x v="232"/>
    <x v="18"/>
    <x v="2"/>
    <x v="207"/>
    <n v="174.89999999999998"/>
    <x v="9"/>
    <x v="9"/>
    <x v="1"/>
    <x v="1"/>
    <x v="1"/>
    <x v="0"/>
    <x v="18"/>
    <x v="7"/>
    <x v="1"/>
    <x v="1"/>
  </r>
  <r>
    <x v="233"/>
    <x v="8"/>
    <x v="1"/>
    <x v="208"/>
    <n v="44.6"/>
    <x v="9"/>
    <x v="14"/>
    <x v="2"/>
    <x v="0"/>
    <x v="2"/>
    <x v="0"/>
    <x v="20"/>
    <x v="2"/>
    <x v="1"/>
    <x v="2"/>
  </r>
  <r>
    <x v="234"/>
    <x v="19"/>
    <x v="9"/>
    <x v="209"/>
    <n v="120"/>
    <x v="9"/>
    <x v="7"/>
    <x v="1"/>
    <x v="4"/>
    <x v="0"/>
    <x v="0"/>
    <x v="1"/>
    <x v="3"/>
    <x v="1"/>
    <x v="1"/>
  </r>
  <r>
    <x v="235"/>
    <x v="0"/>
    <x v="7"/>
    <x v="210"/>
    <n v="213"/>
    <x v="9"/>
    <x v="9"/>
    <x v="2"/>
    <x v="1"/>
    <x v="2"/>
    <x v="0"/>
    <x v="22"/>
    <x v="7"/>
    <x v="1"/>
    <x v="2"/>
  </r>
  <r>
    <x v="236"/>
    <x v="6"/>
    <x v="24"/>
    <x v="211"/>
    <n v="2369.7999999999997"/>
    <x v="9"/>
    <x v="12"/>
    <x v="2"/>
    <x v="0"/>
    <x v="2"/>
    <x v="0"/>
    <x v="3"/>
    <x v="1"/>
    <x v="1"/>
    <x v="2"/>
  </r>
  <r>
    <x v="237"/>
    <x v="10"/>
    <x v="2"/>
    <x v="212"/>
    <n v="202.79999999999998"/>
    <x v="9"/>
    <x v="7"/>
    <x v="2"/>
    <x v="0"/>
    <x v="0"/>
    <x v="0"/>
    <x v="3"/>
    <x v="3"/>
    <x v="1"/>
    <x v="2"/>
  </r>
  <r>
    <x v="238"/>
    <x v="6"/>
    <x v="13"/>
    <x v="14"/>
    <n v="400.20000000000005"/>
    <x v="9"/>
    <x v="16"/>
    <x v="1"/>
    <x v="4"/>
    <x v="1"/>
    <x v="0"/>
    <x v="3"/>
    <x v="5"/>
    <x v="1"/>
    <x v="1"/>
  </r>
  <r>
    <x v="239"/>
    <x v="1"/>
    <x v="12"/>
    <x v="213"/>
    <n v="212.4"/>
    <x v="9"/>
    <x v="12"/>
    <x v="2"/>
    <x v="1"/>
    <x v="0"/>
    <x v="0"/>
    <x v="3"/>
    <x v="1"/>
    <x v="1"/>
    <x v="2"/>
  </r>
  <r>
    <x v="240"/>
    <x v="12"/>
    <x v="2"/>
    <x v="214"/>
    <n v="172.2"/>
    <x v="9"/>
    <x v="14"/>
    <x v="2"/>
    <x v="0"/>
    <x v="2"/>
    <x v="0"/>
    <x v="29"/>
    <x v="2"/>
    <x v="1"/>
    <x v="2"/>
  </r>
  <r>
    <x v="241"/>
    <x v="2"/>
    <x v="9"/>
    <x v="215"/>
    <n v="290.5"/>
    <x v="9"/>
    <x v="9"/>
    <x v="1"/>
    <x v="2"/>
    <x v="2"/>
    <x v="0"/>
    <x v="6"/>
    <x v="7"/>
    <x v="1"/>
    <x v="1"/>
  </r>
  <r>
    <x v="242"/>
    <x v="5"/>
    <x v="2"/>
    <x v="216"/>
    <n v="95.4"/>
    <x v="10"/>
    <x v="14"/>
    <x v="1"/>
    <x v="3"/>
    <x v="0"/>
    <x v="0"/>
    <x v="6"/>
    <x v="1"/>
    <x v="1"/>
    <x v="1"/>
  </r>
  <r>
    <x v="243"/>
    <x v="4"/>
    <x v="2"/>
    <x v="217"/>
    <n v="94.5"/>
    <x v="10"/>
    <x v="16"/>
    <x v="1"/>
    <x v="0"/>
    <x v="1"/>
    <x v="0"/>
    <x v="8"/>
    <x v="2"/>
    <x v="1"/>
    <x v="1"/>
  </r>
  <r>
    <x v="244"/>
    <x v="6"/>
    <x v="3"/>
    <x v="218"/>
    <n v="391.3"/>
    <x v="10"/>
    <x v="11"/>
    <x v="2"/>
    <x v="1"/>
    <x v="2"/>
    <x v="0"/>
    <x v="8"/>
    <x v="5"/>
    <x v="1"/>
    <x v="2"/>
  </r>
  <r>
    <x v="245"/>
    <x v="8"/>
    <x v="1"/>
    <x v="128"/>
    <n v="72.8"/>
    <x v="10"/>
    <x v="12"/>
    <x v="1"/>
    <x v="1"/>
    <x v="1"/>
    <x v="0"/>
    <x v="9"/>
    <x v="3"/>
    <x v="1"/>
    <x v="1"/>
  </r>
  <r>
    <x v="246"/>
    <x v="1"/>
    <x v="9"/>
    <x v="219"/>
    <n v="236.5"/>
    <x v="10"/>
    <x v="16"/>
    <x v="1"/>
    <x v="2"/>
    <x v="0"/>
    <x v="0"/>
    <x v="10"/>
    <x v="2"/>
    <x v="1"/>
    <x v="1"/>
  </r>
  <r>
    <x v="247"/>
    <x v="6"/>
    <x v="2"/>
    <x v="220"/>
    <n v="247.5"/>
    <x v="10"/>
    <x v="12"/>
    <x v="1"/>
    <x v="0"/>
    <x v="0"/>
    <x v="0"/>
    <x v="11"/>
    <x v="3"/>
    <x v="1"/>
    <x v="1"/>
  </r>
  <r>
    <x v="248"/>
    <x v="0"/>
    <x v="0"/>
    <x v="221"/>
    <n v="14.3"/>
    <x v="10"/>
    <x v="12"/>
    <x v="2"/>
    <x v="0"/>
    <x v="0"/>
    <x v="0"/>
    <x v="21"/>
    <x v="3"/>
    <x v="1"/>
    <x v="2"/>
  </r>
  <r>
    <x v="249"/>
    <x v="2"/>
    <x v="13"/>
    <x v="222"/>
    <n v="345.6"/>
    <x v="10"/>
    <x v="17"/>
    <x v="2"/>
    <x v="0"/>
    <x v="0"/>
    <x v="0"/>
    <x v="21"/>
    <x v="12"/>
    <x v="1"/>
    <x v="2"/>
  </r>
  <r>
    <x v="250"/>
    <x v="2"/>
    <x v="2"/>
    <x v="223"/>
    <n v="427.20000000000005"/>
    <x v="10"/>
    <x v="14"/>
    <x v="1"/>
    <x v="4"/>
    <x v="1"/>
    <x v="0"/>
    <x v="21"/>
    <x v="1"/>
    <x v="1"/>
    <x v="1"/>
  </r>
  <r>
    <x v="251"/>
    <x v="12"/>
    <x v="0"/>
    <x v="224"/>
    <n v="30.2"/>
    <x v="10"/>
    <x v="11"/>
    <x v="1"/>
    <x v="1"/>
    <x v="2"/>
    <x v="0"/>
    <x v="2"/>
    <x v="5"/>
    <x v="1"/>
    <x v="1"/>
  </r>
  <r>
    <x v="252"/>
    <x v="18"/>
    <x v="2"/>
    <x v="225"/>
    <n v="195.89999999999998"/>
    <x v="10"/>
    <x v="12"/>
    <x v="3"/>
    <x v="1"/>
    <x v="0"/>
    <x v="0"/>
    <x v="33"/>
    <x v="3"/>
    <x v="1"/>
    <x v="3"/>
  </r>
  <r>
    <x v="253"/>
    <x v="0"/>
    <x v="1"/>
    <x v="172"/>
    <n v="66.8"/>
    <x v="10"/>
    <x v="12"/>
    <x v="1"/>
    <x v="1"/>
    <x v="1"/>
    <x v="0"/>
    <x v="22"/>
    <x v="3"/>
    <x v="1"/>
    <x v="1"/>
  </r>
  <r>
    <x v="254"/>
    <x v="7"/>
    <x v="1"/>
    <x v="226"/>
    <n v="90.2"/>
    <x v="10"/>
    <x v="18"/>
    <x v="1"/>
    <x v="0"/>
    <x v="0"/>
    <x v="0"/>
    <x v="34"/>
    <x v="9"/>
    <x v="1"/>
    <x v="1"/>
  </r>
  <r>
    <x v="255"/>
    <x v="2"/>
    <x v="3"/>
    <x v="227"/>
    <n v="431.90000000000003"/>
    <x v="10"/>
    <x v="14"/>
    <x v="2"/>
    <x v="4"/>
    <x v="0"/>
    <x v="0"/>
    <x v="3"/>
    <x v="1"/>
    <x v="1"/>
    <x v="2"/>
  </r>
  <r>
    <x v="256"/>
    <x v="9"/>
    <x v="2"/>
    <x v="226"/>
    <n v="135.30000000000001"/>
    <x v="11"/>
    <x v="14"/>
    <x v="1"/>
    <x v="4"/>
    <x v="1"/>
    <x v="0"/>
    <x v="3"/>
    <x v="3"/>
    <x v="2"/>
    <x v="1"/>
  </r>
  <r>
    <x v="257"/>
    <x v="15"/>
    <x v="9"/>
    <x v="188"/>
    <n v="113.5"/>
    <x v="11"/>
    <x v="10"/>
    <x v="1"/>
    <x v="0"/>
    <x v="2"/>
    <x v="0"/>
    <x v="35"/>
    <x v="0"/>
    <x v="2"/>
    <x v="1"/>
  </r>
  <r>
    <x v="258"/>
    <x v="8"/>
    <x v="0"/>
    <x v="228"/>
    <n v="17.600000000000001"/>
    <x v="11"/>
    <x v="14"/>
    <x v="2"/>
    <x v="0"/>
    <x v="2"/>
    <x v="0"/>
    <x v="23"/>
    <x v="3"/>
    <x v="2"/>
    <x v="2"/>
  </r>
  <r>
    <x v="259"/>
    <x v="14"/>
    <x v="1"/>
    <x v="229"/>
    <n v="22.6"/>
    <x v="11"/>
    <x v="11"/>
    <x v="2"/>
    <x v="3"/>
    <x v="2"/>
    <x v="0"/>
    <x v="23"/>
    <x v="2"/>
    <x v="2"/>
    <x v="2"/>
  </r>
  <r>
    <x v="260"/>
    <x v="6"/>
    <x v="2"/>
    <x v="230"/>
    <n v="160.19999999999999"/>
    <x v="11"/>
    <x v="11"/>
    <x v="1"/>
    <x v="3"/>
    <x v="2"/>
    <x v="0"/>
    <x v="36"/>
    <x v="2"/>
    <x v="2"/>
    <x v="1"/>
  </r>
  <r>
    <x v="261"/>
    <x v="6"/>
    <x v="5"/>
    <x v="18"/>
    <n v="562.1"/>
    <x v="11"/>
    <x v="16"/>
    <x v="2"/>
    <x v="2"/>
    <x v="2"/>
    <x v="0"/>
    <x v="8"/>
    <x v="1"/>
    <x v="2"/>
    <x v="2"/>
  </r>
  <r>
    <x v="262"/>
    <x v="8"/>
    <x v="1"/>
    <x v="231"/>
    <n v="55"/>
    <x v="11"/>
    <x v="14"/>
    <x v="1"/>
    <x v="4"/>
    <x v="1"/>
    <x v="0"/>
    <x v="8"/>
    <x v="3"/>
    <x v="2"/>
    <x v="1"/>
  </r>
  <r>
    <x v="263"/>
    <x v="9"/>
    <x v="0"/>
    <x v="232"/>
    <n v="33.5"/>
    <x v="11"/>
    <x v="16"/>
    <x v="2"/>
    <x v="0"/>
    <x v="4"/>
    <x v="0"/>
    <x v="8"/>
    <x v="1"/>
    <x v="2"/>
    <x v="2"/>
  </r>
  <r>
    <x v="264"/>
    <x v="4"/>
    <x v="0"/>
    <x v="233"/>
    <n v="59.5"/>
    <x v="11"/>
    <x v="12"/>
    <x v="1"/>
    <x v="0"/>
    <x v="2"/>
    <x v="0"/>
    <x v="18"/>
    <x v="7"/>
    <x v="2"/>
    <x v="1"/>
  </r>
  <r>
    <x v="265"/>
    <x v="17"/>
    <x v="12"/>
    <x v="234"/>
    <n v="94"/>
    <x v="11"/>
    <x v="14"/>
    <x v="2"/>
    <x v="3"/>
    <x v="3"/>
    <x v="0"/>
    <x v="19"/>
    <x v="3"/>
    <x v="2"/>
    <x v="2"/>
  </r>
  <r>
    <x v="266"/>
    <x v="6"/>
    <x v="0"/>
    <x v="235"/>
    <n v="49.7"/>
    <x v="11"/>
    <x v="14"/>
    <x v="0"/>
    <x v="1"/>
    <x v="2"/>
    <x v="0"/>
    <x v="20"/>
    <x v="3"/>
    <x v="2"/>
    <x v="0"/>
  </r>
  <r>
    <x v="267"/>
    <x v="6"/>
    <x v="12"/>
    <x v="236"/>
    <n v="176.8"/>
    <x v="11"/>
    <x v="11"/>
    <x v="2"/>
    <x v="0"/>
    <x v="2"/>
    <x v="0"/>
    <x v="21"/>
    <x v="2"/>
    <x v="2"/>
    <x v="2"/>
  </r>
  <r>
    <x v="268"/>
    <x v="8"/>
    <x v="0"/>
    <x v="237"/>
    <n v="22.1"/>
    <x v="11"/>
    <x v="15"/>
    <x v="2"/>
    <x v="1"/>
    <x v="1"/>
    <x v="0"/>
    <x v="33"/>
    <x v="5"/>
    <x v="2"/>
    <x v="2"/>
  </r>
  <r>
    <x v="269"/>
    <x v="6"/>
    <x v="2"/>
    <x v="238"/>
    <n v="272.70000000000005"/>
    <x v="11"/>
    <x v="14"/>
    <x v="2"/>
    <x v="2"/>
    <x v="4"/>
    <x v="0"/>
    <x v="3"/>
    <x v="3"/>
    <x v="2"/>
    <x v="2"/>
  </r>
  <r>
    <x v="270"/>
    <x v="8"/>
    <x v="2"/>
    <x v="239"/>
    <n v="133.5"/>
    <x v="11"/>
    <x v="14"/>
    <x v="2"/>
    <x v="1"/>
    <x v="0"/>
    <x v="0"/>
    <x v="3"/>
    <x v="3"/>
    <x v="2"/>
    <x v="2"/>
  </r>
  <r>
    <x v="271"/>
    <x v="9"/>
    <x v="13"/>
    <x v="240"/>
    <n v="193.79999999999998"/>
    <x v="11"/>
    <x v="15"/>
    <x v="2"/>
    <x v="0"/>
    <x v="0"/>
    <x v="0"/>
    <x v="3"/>
    <x v="5"/>
    <x v="2"/>
    <x v="2"/>
  </r>
  <r>
    <x v="272"/>
    <x v="17"/>
    <x v="2"/>
    <x v="241"/>
    <n v="262.5"/>
    <x v="11"/>
    <x v="14"/>
    <x v="2"/>
    <x v="1"/>
    <x v="1"/>
    <x v="0"/>
    <x v="3"/>
    <x v="3"/>
    <x v="2"/>
    <x v="2"/>
  </r>
  <r>
    <x v="273"/>
    <x v="16"/>
    <x v="9"/>
    <x v="242"/>
    <n v="243.5"/>
    <x v="11"/>
    <x v="14"/>
    <x v="1"/>
    <x v="2"/>
    <x v="0"/>
    <x v="0"/>
    <x v="3"/>
    <x v="3"/>
    <x v="2"/>
    <x v="1"/>
  </r>
  <r>
    <x v="274"/>
    <x v="0"/>
    <x v="9"/>
    <x v="243"/>
    <n v="112.5"/>
    <x v="11"/>
    <x v="14"/>
    <x v="1"/>
    <x v="0"/>
    <x v="0"/>
    <x v="0"/>
    <x v="3"/>
    <x v="3"/>
    <x v="2"/>
    <x v="1"/>
  </r>
  <r>
    <x v="275"/>
    <x v="1"/>
    <x v="8"/>
    <x v="244"/>
    <n v="527.20000000000005"/>
    <x v="11"/>
    <x v="11"/>
    <x v="2"/>
    <x v="1"/>
    <x v="2"/>
    <x v="0"/>
    <x v="3"/>
    <x v="2"/>
    <x v="2"/>
    <x v="2"/>
  </r>
  <r>
    <x v="276"/>
    <x v="6"/>
    <x v="9"/>
    <x v="245"/>
    <n v="209.5"/>
    <x v="11"/>
    <x v="18"/>
    <x v="0"/>
    <x v="0"/>
    <x v="0"/>
    <x v="0"/>
    <x v="3"/>
    <x v="6"/>
    <x v="2"/>
    <x v="0"/>
  </r>
  <r>
    <x v="277"/>
    <x v="1"/>
    <x v="9"/>
    <x v="246"/>
    <n v="337.5"/>
    <x v="11"/>
    <x v="14"/>
    <x v="2"/>
    <x v="0"/>
    <x v="2"/>
    <x v="0"/>
    <x v="3"/>
    <x v="3"/>
    <x v="2"/>
    <x v="2"/>
  </r>
  <r>
    <x v="278"/>
    <x v="9"/>
    <x v="0"/>
    <x v="247"/>
    <n v="60.4"/>
    <x v="12"/>
    <x v="11"/>
    <x v="2"/>
    <x v="1"/>
    <x v="1"/>
    <x v="0"/>
    <x v="3"/>
    <x v="1"/>
    <x v="2"/>
    <x v="2"/>
  </r>
  <r>
    <x v="279"/>
    <x v="1"/>
    <x v="3"/>
    <x v="248"/>
    <n v="212.79999999999998"/>
    <x v="12"/>
    <x v="15"/>
    <x v="2"/>
    <x v="4"/>
    <x v="0"/>
    <x v="0"/>
    <x v="3"/>
    <x v="2"/>
    <x v="2"/>
    <x v="2"/>
  </r>
  <r>
    <x v="280"/>
    <x v="14"/>
    <x v="1"/>
    <x v="249"/>
    <n v="49"/>
    <x v="12"/>
    <x v="16"/>
    <x v="1"/>
    <x v="3"/>
    <x v="2"/>
    <x v="0"/>
    <x v="3"/>
    <x v="3"/>
    <x v="2"/>
    <x v="1"/>
  </r>
  <r>
    <x v="281"/>
    <x v="2"/>
    <x v="2"/>
    <x v="250"/>
    <n v="317.70000000000005"/>
    <x v="12"/>
    <x v="13"/>
    <x v="1"/>
    <x v="0"/>
    <x v="0"/>
    <x v="0"/>
    <x v="37"/>
    <x v="0"/>
    <x v="2"/>
    <x v="1"/>
  </r>
  <r>
    <x v="282"/>
    <x v="10"/>
    <x v="25"/>
    <x v="122"/>
    <n v="621.59999999999991"/>
    <x v="12"/>
    <x v="16"/>
    <x v="2"/>
    <x v="4"/>
    <x v="0"/>
    <x v="0"/>
    <x v="23"/>
    <x v="3"/>
    <x v="2"/>
    <x v="2"/>
  </r>
  <r>
    <x v="283"/>
    <x v="6"/>
    <x v="2"/>
    <x v="114"/>
    <n v="200.39999999999998"/>
    <x v="12"/>
    <x v="14"/>
    <x v="1"/>
    <x v="0"/>
    <x v="0"/>
    <x v="0"/>
    <x v="23"/>
    <x v="7"/>
    <x v="2"/>
    <x v="1"/>
  </r>
  <r>
    <x v="284"/>
    <x v="6"/>
    <x v="2"/>
    <x v="251"/>
    <n v="336.9"/>
    <x v="12"/>
    <x v="16"/>
    <x v="1"/>
    <x v="2"/>
    <x v="4"/>
    <x v="0"/>
    <x v="6"/>
    <x v="3"/>
    <x v="2"/>
    <x v="1"/>
  </r>
  <r>
    <x v="285"/>
    <x v="1"/>
    <x v="13"/>
    <x v="252"/>
    <n v="564.59999999999991"/>
    <x v="12"/>
    <x v="16"/>
    <x v="2"/>
    <x v="0"/>
    <x v="4"/>
    <x v="0"/>
    <x v="6"/>
    <x v="3"/>
    <x v="2"/>
    <x v="2"/>
  </r>
  <r>
    <x v="286"/>
    <x v="5"/>
    <x v="0"/>
    <x v="253"/>
    <n v="40.700000000000003"/>
    <x v="12"/>
    <x v="15"/>
    <x v="2"/>
    <x v="2"/>
    <x v="0"/>
    <x v="0"/>
    <x v="6"/>
    <x v="2"/>
    <x v="2"/>
    <x v="2"/>
  </r>
  <r>
    <x v="287"/>
    <x v="3"/>
    <x v="1"/>
    <x v="254"/>
    <n v="142.80000000000001"/>
    <x v="12"/>
    <x v="16"/>
    <x v="1"/>
    <x v="0"/>
    <x v="0"/>
    <x v="0"/>
    <x v="7"/>
    <x v="3"/>
    <x v="2"/>
    <x v="1"/>
  </r>
  <r>
    <x v="288"/>
    <x v="0"/>
    <x v="16"/>
    <x v="255"/>
    <n v="280.8"/>
    <x v="12"/>
    <x v="16"/>
    <x v="1"/>
    <x v="1"/>
    <x v="3"/>
    <x v="0"/>
    <x v="8"/>
    <x v="3"/>
    <x v="2"/>
    <x v="1"/>
  </r>
  <r>
    <x v="289"/>
    <x v="10"/>
    <x v="12"/>
    <x v="256"/>
    <n v="151.19999999999999"/>
    <x v="12"/>
    <x v="16"/>
    <x v="1"/>
    <x v="2"/>
    <x v="2"/>
    <x v="0"/>
    <x v="8"/>
    <x v="3"/>
    <x v="2"/>
    <x v="1"/>
  </r>
  <r>
    <x v="290"/>
    <x v="4"/>
    <x v="2"/>
    <x v="257"/>
    <n v="84.300000000000011"/>
    <x v="12"/>
    <x v="10"/>
    <x v="1"/>
    <x v="0"/>
    <x v="0"/>
    <x v="0"/>
    <x v="8"/>
    <x v="5"/>
    <x v="2"/>
    <x v="1"/>
  </r>
  <r>
    <x v="291"/>
    <x v="7"/>
    <x v="13"/>
    <x v="258"/>
    <n v="308.39999999999998"/>
    <x v="12"/>
    <x v="10"/>
    <x v="1"/>
    <x v="0"/>
    <x v="0"/>
    <x v="0"/>
    <x v="8"/>
    <x v="5"/>
    <x v="2"/>
    <x v="1"/>
  </r>
  <r>
    <x v="292"/>
    <x v="7"/>
    <x v="1"/>
    <x v="67"/>
    <n v="195.4"/>
    <x v="12"/>
    <x v="11"/>
    <x v="2"/>
    <x v="4"/>
    <x v="2"/>
    <x v="0"/>
    <x v="17"/>
    <x v="1"/>
    <x v="2"/>
    <x v="2"/>
  </r>
  <r>
    <x v="293"/>
    <x v="1"/>
    <x v="12"/>
    <x v="259"/>
    <n v="255.2"/>
    <x v="12"/>
    <x v="16"/>
    <x v="1"/>
    <x v="2"/>
    <x v="0"/>
    <x v="0"/>
    <x v="38"/>
    <x v="3"/>
    <x v="2"/>
    <x v="1"/>
  </r>
  <r>
    <x v="294"/>
    <x v="13"/>
    <x v="1"/>
    <x v="260"/>
    <n v="40.200000000000003"/>
    <x v="12"/>
    <x v="11"/>
    <x v="1"/>
    <x v="0"/>
    <x v="2"/>
    <x v="0"/>
    <x v="20"/>
    <x v="1"/>
    <x v="2"/>
    <x v="1"/>
  </r>
  <r>
    <x v="295"/>
    <x v="11"/>
    <x v="2"/>
    <x v="88"/>
    <n v="151.19999999999999"/>
    <x v="12"/>
    <x v="15"/>
    <x v="2"/>
    <x v="3"/>
    <x v="0"/>
    <x v="0"/>
    <x v="13"/>
    <x v="2"/>
    <x v="2"/>
    <x v="2"/>
  </r>
  <r>
    <x v="296"/>
    <x v="0"/>
    <x v="0"/>
    <x v="261"/>
    <n v="16.2"/>
    <x v="12"/>
    <x v="19"/>
    <x v="2"/>
    <x v="1"/>
    <x v="0"/>
    <x v="0"/>
    <x v="1"/>
    <x v="10"/>
    <x v="2"/>
    <x v="2"/>
  </r>
  <r>
    <x v="297"/>
    <x v="6"/>
    <x v="3"/>
    <x v="262"/>
    <n v="566.30000000000007"/>
    <x v="12"/>
    <x v="11"/>
    <x v="1"/>
    <x v="4"/>
    <x v="4"/>
    <x v="0"/>
    <x v="2"/>
    <x v="1"/>
    <x v="2"/>
    <x v="1"/>
  </r>
  <r>
    <x v="298"/>
    <x v="9"/>
    <x v="13"/>
    <x v="263"/>
    <n v="571.20000000000005"/>
    <x v="12"/>
    <x v="11"/>
    <x v="2"/>
    <x v="0"/>
    <x v="2"/>
    <x v="0"/>
    <x v="2"/>
    <x v="1"/>
    <x v="2"/>
    <x v="2"/>
  </r>
  <r>
    <x v="299"/>
    <x v="5"/>
    <x v="8"/>
    <x v="264"/>
    <n v="563.20000000000005"/>
    <x v="12"/>
    <x v="16"/>
    <x v="1"/>
    <x v="1"/>
    <x v="1"/>
    <x v="0"/>
    <x v="3"/>
    <x v="3"/>
    <x v="2"/>
    <x v="1"/>
  </r>
  <r>
    <x v="300"/>
    <x v="0"/>
    <x v="9"/>
    <x v="265"/>
    <n v="53.5"/>
    <x v="12"/>
    <x v="10"/>
    <x v="2"/>
    <x v="2"/>
    <x v="0"/>
    <x v="0"/>
    <x v="3"/>
    <x v="5"/>
    <x v="2"/>
    <x v="2"/>
  </r>
  <r>
    <x v="301"/>
    <x v="8"/>
    <x v="9"/>
    <x v="266"/>
    <n v="98"/>
    <x v="12"/>
    <x v="11"/>
    <x v="2"/>
    <x v="0"/>
    <x v="3"/>
    <x v="0"/>
    <x v="3"/>
    <x v="1"/>
    <x v="2"/>
    <x v="2"/>
  </r>
  <r>
    <x v="302"/>
    <x v="8"/>
    <x v="5"/>
    <x v="267"/>
    <n v="381.70000000000005"/>
    <x v="12"/>
    <x v="11"/>
    <x v="2"/>
    <x v="0"/>
    <x v="2"/>
    <x v="0"/>
    <x v="3"/>
    <x v="1"/>
    <x v="2"/>
    <x v="2"/>
  </r>
  <r>
    <x v="303"/>
    <x v="10"/>
    <x v="11"/>
    <x v="268"/>
    <n v="306.90000000000003"/>
    <x v="12"/>
    <x v="16"/>
    <x v="2"/>
    <x v="4"/>
    <x v="1"/>
    <x v="0"/>
    <x v="3"/>
    <x v="3"/>
    <x v="2"/>
    <x v="2"/>
  </r>
  <r>
    <x v="304"/>
    <x v="0"/>
    <x v="26"/>
    <x v="143"/>
    <n v="1435.7"/>
    <x v="12"/>
    <x v="14"/>
    <x v="1"/>
    <x v="0"/>
    <x v="1"/>
    <x v="0"/>
    <x v="3"/>
    <x v="7"/>
    <x v="2"/>
    <x v="1"/>
  </r>
  <r>
    <x v="305"/>
    <x v="1"/>
    <x v="0"/>
    <x v="204"/>
    <n v="55.2"/>
    <x v="12"/>
    <x v="16"/>
    <x v="2"/>
    <x v="0"/>
    <x v="1"/>
    <x v="0"/>
    <x v="3"/>
    <x v="3"/>
    <x v="2"/>
    <x v="2"/>
  </r>
  <r>
    <x v="306"/>
    <x v="18"/>
    <x v="2"/>
    <x v="269"/>
    <n v="78"/>
    <x v="12"/>
    <x v="15"/>
    <x v="2"/>
    <x v="0"/>
    <x v="2"/>
    <x v="0"/>
    <x v="3"/>
    <x v="2"/>
    <x v="2"/>
    <x v="2"/>
  </r>
  <r>
    <x v="307"/>
    <x v="14"/>
    <x v="1"/>
    <x v="270"/>
    <n v="28.4"/>
    <x v="12"/>
    <x v="13"/>
    <x v="2"/>
    <x v="3"/>
    <x v="0"/>
    <x v="0"/>
    <x v="39"/>
    <x v="0"/>
    <x v="2"/>
    <x v="2"/>
  </r>
  <r>
    <x v="308"/>
    <x v="8"/>
    <x v="11"/>
    <x v="188"/>
    <n v="204.29999999999998"/>
    <x v="13"/>
    <x v="11"/>
    <x v="1"/>
    <x v="1"/>
    <x v="0"/>
    <x v="0"/>
    <x v="6"/>
    <x v="3"/>
    <x v="2"/>
    <x v="1"/>
  </r>
  <r>
    <x v="309"/>
    <x v="0"/>
    <x v="20"/>
    <x v="82"/>
    <n v="297"/>
    <x v="13"/>
    <x v="16"/>
    <x v="2"/>
    <x v="0"/>
    <x v="2"/>
    <x v="0"/>
    <x v="6"/>
    <x v="7"/>
    <x v="2"/>
    <x v="2"/>
  </r>
  <r>
    <x v="310"/>
    <x v="0"/>
    <x v="2"/>
    <x v="132"/>
    <n v="95.1"/>
    <x v="13"/>
    <x v="11"/>
    <x v="1"/>
    <x v="2"/>
    <x v="0"/>
    <x v="0"/>
    <x v="6"/>
    <x v="3"/>
    <x v="2"/>
    <x v="1"/>
  </r>
  <r>
    <x v="311"/>
    <x v="8"/>
    <x v="12"/>
    <x v="248"/>
    <n v="121.6"/>
    <x v="13"/>
    <x v="13"/>
    <x v="1"/>
    <x v="0"/>
    <x v="0"/>
    <x v="0"/>
    <x v="6"/>
    <x v="5"/>
    <x v="2"/>
    <x v="1"/>
  </r>
  <r>
    <x v="312"/>
    <x v="0"/>
    <x v="12"/>
    <x v="170"/>
    <n v="102.4"/>
    <x v="13"/>
    <x v="11"/>
    <x v="1"/>
    <x v="3"/>
    <x v="0"/>
    <x v="0"/>
    <x v="8"/>
    <x v="3"/>
    <x v="2"/>
    <x v="1"/>
  </r>
  <r>
    <x v="313"/>
    <x v="5"/>
    <x v="1"/>
    <x v="271"/>
    <n v="69.8"/>
    <x v="13"/>
    <x v="11"/>
    <x v="2"/>
    <x v="2"/>
    <x v="0"/>
    <x v="0"/>
    <x v="9"/>
    <x v="3"/>
    <x v="2"/>
    <x v="2"/>
  </r>
  <r>
    <x v="314"/>
    <x v="7"/>
    <x v="13"/>
    <x v="272"/>
    <n v="256.20000000000005"/>
    <x v="13"/>
    <x v="10"/>
    <x v="1"/>
    <x v="2"/>
    <x v="1"/>
    <x v="0"/>
    <x v="11"/>
    <x v="2"/>
    <x v="2"/>
    <x v="1"/>
  </r>
  <r>
    <x v="315"/>
    <x v="8"/>
    <x v="0"/>
    <x v="273"/>
    <n v="23.9"/>
    <x v="13"/>
    <x v="15"/>
    <x v="2"/>
    <x v="3"/>
    <x v="0"/>
    <x v="0"/>
    <x v="11"/>
    <x v="1"/>
    <x v="2"/>
    <x v="2"/>
  </r>
  <r>
    <x v="316"/>
    <x v="6"/>
    <x v="0"/>
    <x v="274"/>
    <n v="124.3"/>
    <x v="13"/>
    <x v="11"/>
    <x v="0"/>
    <x v="2"/>
    <x v="1"/>
    <x v="0"/>
    <x v="21"/>
    <x v="3"/>
    <x v="2"/>
    <x v="0"/>
  </r>
  <r>
    <x v="317"/>
    <x v="8"/>
    <x v="13"/>
    <x v="275"/>
    <n v="215.39999999999998"/>
    <x v="13"/>
    <x v="11"/>
    <x v="2"/>
    <x v="0"/>
    <x v="1"/>
    <x v="0"/>
    <x v="1"/>
    <x v="3"/>
    <x v="2"/>
    <x v="2"/>
  </r>
  <r>
    <x v="318"/>
    <x v="2"/>
    <x v="1"/>
    <x v="276"/>
    <n v="138.19999999999999"/>
    <x v="13"/>
    <x v="10"/>
    <x v="2"/>
    <x v="0"/>
    <x v="2"/>
    <x v="0"/>
    <x v="22"/>
    <x v="2"/>
    <x v="2"/>
    <x v="2"/>
  </r>
  <r>
    <x v="319"/>
    <x v="7"/>
    <x v="0"/>
    <x v="277"/>
    <n v="58.4"/>
    <x v="13"/>
    <x v="13"/>
    <x v="1"/>
    <x v="0"/>
    <x v="0"/>
    <x v="0"/>
    <x v="22"/>
    <x v="5"/>
    <x v="2"/>
    <x v="1"/>
  </r>
  <r>
    <x v="320"/>
    <x v="5"/>
    <x v="0"/>
    <x v="203"/>
    <n v="65.2"/>
    <x v="13"/>
    <x v="15"/>
    <x v="3"/>
    <x v="4"/>
    <x v="4"/>
    <x v="0"/>
    <x v="3"/>
    <x v="1"/>
    <x v="2"/>
    <x v="3"/>
  </r>
  <r>
    <x v="321"/>
    <x v="8"/>
    <x v="14"/>
    <x v="195"/>
    <n v="555.90000000000009"/>
    <x v="13"/>
    <x v="20"/>
    <x v="0"/>
    <x v="4"/>
    <x v="0"/>
    <x v="0"/>
    <x v="3"/>
    <x v="6"/>
    <x v="2"/>
    <x v="0"/>
  </r>
  <r>
    <x v="322"/>
    <x v="10"/>
    <x v="3"/>
    <x v="278"/>
    <n v="170.79999999999998"/>
    <x v="13"/>
    <x v="11"/>
    <x v="2"/>
    <x v="0"/>
    <x v="0"/>
    <x v="0"/>
    <x v="3"/>
    <x v="3"/>
    <x v="2"/>
    <x v="2"/>
  </r>
  <r>
    <x v="323"/>
    <x v="14"/>
    <x v="1"/>
    <x v="88"/>
    <n v="100.8"/>
    <x v="13"/>
    <x v="21"/>
    <x v="1"/>
    <x v="0"/>
    <x v="1"/>
    <x v="0"/>
    <x v="3"/>
    <x v="4"/>
    <x v="2"/>
    <x v="1"/>
  </r>
  <r>
    <x v="324"/>
    <x v="1"/>
    <x v="1"/>
    <x v="279"/>
    <n v="200"/>
    <x v="13"/>
    <x v="11"/>
    <x v="2"/>
    <x v="0"/>
    <x v="0"/>
    <x v="0"/>
    <x v="3"/>
    <x v="3"/>
    <x v="2"/>
    <x v="2"/>
  </r>
  <r>
    <x v="325"/>
    <x v="10"/>
    <x v="2"/>
    <x v="280"/>
    <n v="129"/>
    <x v="14"/>
    <x v="11"/>
    <x v="2"/>
    <x v="2"/>
    <x v="1"/>
    <x v="0"/>
    <x v="3"/>
    <x v="7"/>
    <x v="2"/>
    <x v="2"/>
  </r>
  <r>
    <x v="326"/>
    <x v="1"/>
    <x v="9"/>
    <x v="281"/>
    <n v="322"/>
    <x v="14"/>
    <x v="10"/>
    <x v="1"/>
    <x v="2"/>
    <x v="1"/>
    <x v="0"/>
    <x v="3"/>
    <x v="1"/>
    <x v="2"/>
    <x v="1"/>
  </r>
  <r>
    <x v="327"/>
    <x v="18"/>
    <x v="1"/>
    <x v="214"/>
    <n v="114.8"/>
    <x v="14"/>
    <x v="15"/>
    <x v="1"/>
    <x v="2"/>
    <x v="1"/>
    <x v="0"/>
    <x v="3"/>
    <x v="3"/>
    <x v="2"/>
    <x v="1"/>
  </r>
  <r>
    <x v="328"/>
    <x v="2"/>
    <x v="2"/>
    <x v="282"/>
    <n v="165.3"/>
    <x v="14"/>
    <x v="13"/>
    <x v="2"/>
    <x v="1"/>
    <x v="0"/>
    <x v="0"/>
    <x v="3"/>
    <x v="2"/>
    <x v="2"/>
    <x v="2"/>
  </r>
  <r>
    <x v="329"/>
    <x v="7"/>
    <x v="12"/>
    <x v="102"/>
    <n v="181.6"/>
    <x v="14"/>
    <x v="15"/>
    <x v="2"/>
    <x v="1"/>
    <x v="0"/>
    <x v="0"/>
    <x v="3"/>
    <x v="3"/>
    <x v="2"/>
    <x v="2"/>
  </r>
  <r>
    <x v="330"/>
    <x v="3"/>
    <x v="2"/>
    <x v="283"/>
    <n v="279.89999999999998"/>
    <x v="14"/>
    <x v="15"/>
    <x v="2"/>
    <x v="0"/>
    <x v="0"/>
    <x v="0"/>
    <x v="40"/>
    <x v="3"/>
    <x v="2"/>
    <x v="2"/>
  </r>
  <r>
    <x v="331"/>
    <x v="2"/>
    <x v="10"/>
    <x v="284"/>
    <n v="3005.7999999999997"/>
    <x v="14"/>
    <x v="15"/>
    <x v="2"/>
    <x v="1"/>
    <x v="2"/>
    <x v="0"/>
    <x v="16"/>
    <x v="3"/>
    <x v="2"/>
    <x v="2"/>
  </r>
  <r>
    <x v="332"/>
    <x v="2"/>
    <x v="1"/>
    <x v="285"/>
    <n v="149.80000000000001"/>
    <x v="14"/>
    <x v="10"/>
    <x v="1"/>
    <x v="3"/>
    <x v="0"/>
    <x v="0"/>
    <x v="6"/>
    <x v="1"/>
    <x v="2"/>
    <x v="1"/>
  </r>
  <r>
    <x v="333"/>
    <x v="8"/>
    <x v="3"/>
    <x v="269"/>
    <n v="182"/>
    <x v="14"/>
    <x v="13"/>
    <x v="2"/>
    <x v="1"/>
    <x v="0"/>
    <x v="0"/>
    <x v="8"/>
    <x v="2"/>
    <x v="2"/>
    <x v="2"/>
  </r>
  <r>
    <x v="334"/>
    <x v="9"/>
    <x v="13"/>
    <x v="151"/>
    <n v="225"/>
    <x v="14"/>
    <x v="15"/>
    <x v="2"/>
    <x v="0"/>
    <x v="1"/>
    <x v="0"/>
    <x v="8"/>
    <x v="3"/>
    <x v="2"/>
    <x v="2"/>
  </r>
  <r>
    <x v="335"/>
    <x v="6"/>
    <x v="1"/>
    <x v="124"/>
    <n v="151.6"/>
    <x v="14"/>
    <x v="20"/>
    <x v="1"/>
    <x v="0"/>
    <x v="0"/>
    <x v="0"/>
    <x v="8"/>
    <x v="4"/>
    <x v="2"/>
    <x v="1"/>
  </r>
  <r>
    <x v="336"/>
    <x v="7"/>
    <x v="0"/>
    <x v="286"/>
    <n v="48.5"/>
    <x v="14"/>
    <x v="22"/>
    <x v="0"/>
    <x v="4"/>
    <x v="2"/>
    <x v="0"/>
    <x v="8"/>
    <x v="13"/>
    <x v="2"/>
    <x v="0"/>
  </r>
  <r>
    <x v="337"/>
    <x v="6"/>
    <x v="2"/>
    <x v="287"/>
    <n v="296.70000000000005"/>
    <x v="14"/>
    <x v="10"/>
    <x v="2"/>
    <x v="4"/>
    <x v="1"/>
    <x v="0"/>
    <x v="8"/>
    <x v="1"/>
    <x v="2"/>
    <x v="2"/>
  </r>
  <r>
    <x v="338"/>
    <x v="1"/>
    <x v="4"/>
    <x v="28"/>
    <n v="610.79999999999995"/>
    <x v="14"/>
    <x v="11"/>
    <x v="1"/>
    <x v="4"/>
    <x v="0"/>
    <x v="0"/>
    <x v="8"/>
    <x v="7"/>
    <x v="2"/>
    <x v="1"/>
  </r>
  <r>
    <x v="339"/>
    <x v="12"/>
    <x v="13"/>
    <x v="288"/>
    <n v="508.20000000000005"/>
    <x v="14"/>
    <x v="11"/>
    <x v="2"/>
    <x v="2"/>
    <x v="0"/>
    <x v="0"/>
    <x v="8"/>
    <x v="7"/>
    <x v="2"/>
    <x v="2"/>
  </r>
  <r>
    <x v="340"/>
    <x v="8"/>
    <x v="0"/>
    <x v="289"/>
    <n v="20.7"/>
    <x v="14"/>
    <x v="10"/>
    <x v="2"/>
    <x v="3"/>
    <x v="2"/>
    <x v="0"/>
    <x v="8"/>
    <x v="1"/>
    <x v="2"/>
    <x v="2"/>
  </r>
  <r>
    <x v="341"/>
    <x v="12"/>
    <x v="11"/>
    <x v="211"/>
    <n v="520.19999999999993"/>
    <x v="14"/>
    <x v="19"/>
    <x v="1"/>
    <x v="0"/>
    <x v="4"/>
    <x v="0"/>
    <x v="17"/>
    <x v="11"/>
    <x v="2"/>
    <x v="1"/>
  </r>
  <r>
    <x v="342"/>
    <x v="2"/>
    <x v="1"/>
    <x v="290"/>
    <n v="213.8"/>
    <x v="14"/>
    <x v="10"/>
    <x v="2"/>
    <x v="0"/>
    <x v="2"/>
    <x v="0"/>
    <x v="41"/>
    <x v="1"/>
    <x v="2"/>
    <x v="2"/>
  </r>
  <r>
    <x v="343"/>
    <x v="3"/>
    <x v="9"/>
    <x v="291"/>
    <n v="226"/>
    <x v="14"/>
    <x v="18"/>
    <x v="2"/>
    <x v="1"/>
    <x v="0"/>
    <x v="0"/>
    <x v="21"/>
    <x v="5"/>
    <x v="2"/>
    <x v="2"/>
  </r>
  <r>
    <x v="344"/>
    <x v="8"/>
    <x v="15"/>
    <x v="292"/>
    <n v="449.8"/>
    <x v="14"/>
    <x v="11"/>
    <x v="2"/>
    <x v="1"/>
    <x v="1"/>
    <x v="0"/>
    <x v="21"/>
    <x v="7"/>
    <x v="2"/>
    <x v="2"/>
  </r>
  <r>
    <x v="345"/>
    <x v="15"/>
    <x v="0"/>
    <x v="20"/>
    <n v="43.8"/>
    <x v="14"/>
    <x v="10"/>
    <x v="0"/>
    <x v="0"/>
    <x v="2"/>
    <x v="0"/>
    <x v="21"/>
    <x v="1"/>
    <x v="2"/>
    <x v="0"/>
  </r>
  <r>
    <x v="346"/>
    <x v="15"/>
    <x v="0"/>
    <x v="293"/>
    <n v="20.399999999999999"/>
    <x v="14"/>
    <x v="10"/>
    <x v="1"/>
    <x v="4"/>
    <x v="1"/>
    <x v="0"/>
    <x v="21"/>
    <x v="1"/>
    <x v="2"/>
    <x v="1"/>
  </r>
  <r>
    <x v="347"/>
    <x v="1"/>
    <x v="0"/>
    <x v="294"/>
    <n v="36.700000000000003"/>
    <x v="14"/>
    <x v="15"/>
    <x v="1"/>
    <x v="0"/>
    <x v="1"/>
    <x v="0"/>
    <x v="1"/>
    <x v="3"/>
    <x v="2"/>
    <x v="1"/>
  </r>
  <r>
    <x v="348"/>
    <x v="8"/>
    <x v="2"/>
    <x v="295"/>
    <n v="81.599999999999994"/>
    <x v="14"/>
    <x v="18"/>
    <x v="1"/>
    <x v="0"/>
    <x v="2"/>
    <x v="0"/>
    <x v="1"/>
    <x v="5"/>
    <x v="2"/>
    <x v="1"/>
  </r>
  <r>
    <x v="349"/>
    <x v="6"/>
    <x v="0"/>
    <x v="296"/>
    <n v="58.2"/>
    <x v="14"/>
    <x v="15"/>
    <x v="2"/>
    <x v="0"/>
    <x v="2"/>
    <x v="0"/>
    <x v="42"/>
    <x v="3"/>
    <x v="2"/>
    <x v="2"/>
  </r>
  <r>
    <x v="350"/>
    <x v="8"/>
    <x v="2"/>
    <x v="170"/>
    <n v="76.800000000000011"/>
    <x v="14"/>
    <x v="15"/>
    <x v="1"/>
    <x v="4"/>
    <x v="4"/>
    <x v="0"/>
    <x v="2"/>
    <x v="3"/>
    <x v="2"/>
    <x v="1"/>
  </r>
  <r>
    <x v="351"/>
    <x v="10"/>
    <x v="0"/>
    <x v="191"/>
    <n v="21.2"/>
    <x v="14"/>
    <x v="11"/>
    <x v="2"/>
    <x v="1"/>
    <x v="2"/>
    <x v="0"/>
    <x v="3"/>
    <x v="7"/>
    <x v="2"/>
    <x v="2"/>
  </r>
  <r>
    <x v="352"/>
    <x v="6"/>
    <x v="1"/>
    <x v="297"/>
    <n v="96.4"/>
    <x v="14"/>
    <x v="23"/>
    <x v="2"/>
    <x v="0"/>
    <x v="2"/>
    <x v="0"/>
    <x v="3"/>
    <x v="9"/>
    <x v="2"/>
    <x v="2"/>
  </r>
  <r>
    <x v="353"/>
    <x v="1"/>
    <x v="12"/>
    <x v="298"/>
    <n v="333.6"/>
    <x v="15"/>
    <x v="10"/>
    <x v="1"/>
    <x v="0"/>
    <x v="0"/>
    <x v="0"/>
    <x v="3"/>
    <x v="3"/>
    <x v="2"/>
    <x v="1"/>
  </r>
  <r>
    <x v="354"/>
    <x v="9"/>
    <x v="2"/>
    <x v="299"/>
    <n v="135.89999999999998"/>
    <x v="15"/>
    <x v="24"/>
    <x v="1"/>
    <x v="2"/>
    <x v="1"/>
    <x v="0"/>
    <x v="3"/>
    <x v="4"/>
    <x v="2"/>
    <x v="1"/>
  </r>
  <r>
    <x v="355"/>
    <x v="17"/>
    <x v="0"/>
    <x v="300"/>
    <n v="42"/>
    <x v="15"/>
    <x v="10"/>
    <x v="0"/>
    <x v="0"/>
    <x v="0"/>
    <x v="0"/>
    <x v="3"/>
    <x v="3"/>
    <x v="2"/>
    <x v="0"/>
  </r>
  <r>
    <x v="356"/>
    <x v="0"/>
    <x v="11"/>
    <x v="301"/>
    <n v="196.20000000000002"/>
    <x v="15"/>
    <x v="13"/>
    <x v="2"/>
    <x v="1"/>
    <x v="0"/>
    <x v="0"/>
    <x v="3"/>
    <x v="1"/>
    <x v="2"/>
    <x v="2"/>
  </r>
  <r>
    <x v="357"/>
    <x v="8"/>
    <x v="16"/>
    <x v="302"/>
    <n v="385.2"/>
    <x v="15"/>
    <x v="18"/>
    <x v="2"/>
    <x v="1"/>
    <x v="2"/>
    <x v="0"/>
    <x v="3"/>
    <x v="2"/>
    <x v="2"/>
    <x v="2"/>
  </r>
  <r>
    <x v="358"/>
    <x v="10"/>
    <x v="2"/>
    <x v="303"/>
    <n v="135"/>
    <x v="15"/>
    <x v="15"/>
    <x v="2"/>
    <x v="1"/>
    <x v="2"/>
    <x v="0"/>
    <x v="3"/>
    <x v="7"/>
    <x v="2"/>
    <x v="2"/>
  </r>
  <r>
    <x v="359"/>
    <x v="14"/>
    <x v="0"/>
    <x v="180"/>
    <n v="39.6"/>
    <x v="15"/>
    <x v="10"/>
    <x v="1"/>
    <x v="0"/>
    <x v="2"/>
    <x v="0"/>
    <x v="3"/>
    <x v="3"/>
    <x v="2"/>
    <x v="1"/>
  </r>
  <r>
    <x v="360"/>
    <x v="12"/>
    <x v="2"/>
    <x v="304"/>
    <n v="239.39999999999998"/>
    <x v="15"/>
    <x v="24"/>
    <x v="2"/>
    <x v="1"/>
    <x v="4"/>
    <x v="0"/>
    <x v="3"/>
    <x v="4"/>
    <x v="2"/>
    <x v="2"/>
  </r>
  <r>
    <x v="361"/>
    <x v="1"/>
    <x v="12"/>
    <x v="305"/>
    <n v="254.4"/>
    <x v="15"/>
    <x v="10"/>
    <x v="3"/>
    <x v="0"/>
    <x v="2"/>
    <x v="0"/>
    <x v="24"/>
    <x v="3"/>
    <x v="2"/>
    <x v="3"/>
  </r>
  <r>
    <x v="362"/>
    <x v="7"/>
    <x v="7"/>
    <x v="306"/>
    <n v="927"/>
    <x v="15"/>
    <x v="21"/>
    <x v="1"/>
    <x v="1"/>
    <x v="2"/>
    <x v="0"/>
    <x v="6"/>
    <x v="5"/>
    <x v="2"/>
    <x v="1"/>
  </r>
  <r>
    <x v="363"/>
    <x v="1"/>
    <x v="12"/>
    <x v="72"/>
    <n v="193.6"/>
    <x v="15"/>
    <x v="13"/>
    <x v="2"/>
    <x v="1"/>
    <x v="2"/>
    <x v="0"/>
    <x v="6"/>
    <x v="1"/>
    <x v="2"/>
    <x v="2"/>
  </r>
  <r>
    <x v="364"/>
    <x v="9"/>
    <x v="8"/>
    <x v="307"/>
    <n v="288"/>
    <x v="15"/>
    <x v="18"/>
    <x v="1"/>
    <x v="2"/>
    <x v="2"/>
    <x v="0"/>
    <x v="8"/>
    <x v="2"/>
    <x v="2"/>
    <x v="1"/>
  </r>
  <r>
    <x v="365"/>
    <x v="8"/>
    <x v="4"/>
    <x v="49"/>
    <n v="324"/>
    <x v="15"/>
    <x v="13"/>
    <x v="2"/>
    <x v="2"/>
    <x v="1"/>
    <x v="0"/>
    <x v="8"/>
    <x v="1"/>
    <x v="2"/>
    <x v="2"/>
  </r>
  <r>
    <x v="366"/>
    <x v="2"/>
    <x v="8"/>
    <x v="190"/>
    <n v="431.2"/>
    <x v="15"/>
    <x v="10"/>
    <x v="0"/>
    <x v="0"/>
    <x v="0"/>
    <x v="0"/>
    <x v="8"/>
    <x v="3"/>
    <x v="2"/>
    <x v="0"/>
  </r>
  <r>
    <x v="367"/>
    <x v="3"/>
    <x v="11"/>
    <x v="72"/>
    <n v="435.59999999999997"/>
    <x v="15"/>
    <x v="10"/>
    <x v="2"/>
    <x v="1"/>
    <x v="0"/>
    <x v="0"/>
    <x v="9"/>
    <x v="3"/>
    <x v="2"/>
    <x v="2"/>
  </r>
  <r>
    <x v="368"/>
    <x v="17"/>
    <x v="1"/>
    <x v="308"/>
    <n v="99.8"/>
    <x v="15"/>
    <x v="20"/>
    <x v="1"/>
    <x v="4"/>
    <x v="4"/>
    <x v="0"/>
    <x v="10"/>
    <x v="0"/>
    <x v="2"/>
    <x v="1"/>
  </r>
  <r>
    <x v="369"/>
    <x v="1"/>
    <x v="2"/>
    <x v="309"/>
    <n v="155.10000000000002"/>
    <x v="15"/>
    <x v="10"/>
    <x v="2"/>
    <x v="0"/>
    <x v="2"/>
    <x v="0"/>
    <x v="11"/>
    <x v="3"/>
    <x v="2"/>
    <x v="2"/>
  </r>
  <r>
    <x v="370"/>
    <x v="8"/>
    <x v="2"/>
    <x v="80"/>
    <n v="125.39999999999999"/>
    <x v="15"/>
    <x v="13"/>
    <x v="2"/>
    <x v="2"/>
    <x v="0"/>
    <x v="0"/>
    <x v="18"/>
    <x v="1"/>
    <x v="2"/>
    <x v="2"/>
  </r>
  <r>
    <x v="371"/>
    <x v="4"/>
    <x v="12"/>
    <x v="310"/>
    <n v="144.80000000000001"/>
    <x v="16"/>
    <x v="13"/>
    <x v="1"/>
    <x v="2"/>
    <x v="2"/>
    <x v="0"/>
    <x v="21"/>
    <x v="3"/>
    <x v="2"/>
    <x v="1"/>
  </r>
  <r>
    <x v="372"/>
    <x v="2"/>
    <x v="0"/>
    <x v="311"/>
    <n v="150.9"/>
    <x v="16"/>
    <x v="22"/>
    <x v="1"/>
    <x v="0"/>
    <x v="0"/>
    <x v="0"/>
    <x v="1"/>
    <x v="14"/>
    <x v="2"/>
    <x v="1"/>
  </r>
  <r>
    <x v="373"/>
    <x v="18"/>
    <x v="12"/>
    <x v="312"/>
    <n v="310.39999999999998"/>
    <x v="16"/>
    <x v="13"/>
    <x v="0"/>
    <x v="2"/>
    <x v="0"/>
    <x v="0"/>
    <x v="3"/>
    <x v="3"/>
    <x v="2"/>
    <x v="0"/>
  </r>
  <r>
    <x v="374"/>
    <x v="13"/>
    <x v="9"/>
    <x v="313"/>
    <n v="327.5"/>
    <x v="16"/>
    <x v="10"/>
    <x v="1"/>
    <x v="1"/>
    <x v="0"/>
    <x v="0"/>
    <x v="3"/>
    <x v="7"/>
    <x v="2"/>
    <x v="1"/>
  </r>
  <r>
    <x v="375"/>
    <x v="6"/>
    <x v="2"/>
    <x v="314"/>
    <n v="270.29999999999995"/>
    <x v="16"/>
    <x v="18"/>
    <x v="2"/>
    <x v="0"/>
    <x v="0"/>
    <x v="0"/>
    <x v="3"/>
    <x v="1"/>
    <x v="2"/>
    <x v="2"/>
  </r>
  <r>
    <x v="376"/>
    <x v="1"/>
    <x v="1"/>
    <x v="315"/>
    <n v="216.6"/>
    <x v="16"/>
    <x v="21"/>
    <x v="3"/>
    <x v="4"/>
    <x v="0"/>
    <x v="0"/>
    <x v="3"/>
    <x v="2"/>
    <x v="2"/>
    <x v="3"/>
  </r>
  <r>
    <x v="377"/>
    <x v="5"/>
    <x v="2"/>
    <x v="316"/>
    <n v="179.7"/>
    <x v="16"/>
    <x v="20"/>
    <x v="2"/>
    <x v="0"/>
    <x v="0"/>
    <x v="0"/>
    <x v="3"/>
    <x v="5"/>
    <x v="2"/>
    <x v="2"/>
  </r>
  <r>
    <x v="378"/>
    <x v="2"/>
    <x v="14"/>
    <x v="40"/>
    <n v="2363"/>
    <x v="16"/>
    <x v="18"/>
    <x v="2"/>
    <x v="1"/>
    <x v="4"/>
    <x v="0"/>
    <x v="3"/>
    <x v="1"/>
    <x v="2"/>
    <x v="2"/>
  </r>
  <r>
    <x v="379"/>
    <x v="6"/>
    <x v="2"/>
    <x v="317"/>
    <n v="261.89999999999998"/>
    <x v="16"/>
    <x v="13"/>
    <x v="2"/>
    <x v="0"/>
    <x v="0"/>
    <x v="0"/>
    <x v="3"/>
    <x v="3"/>
    <x v="2"/>
    <x v="2"/>
  </r>
  <r>
    <x v="380"/>
    <x v="11"/>
    <x v="12"/>
    <x v="318"/>
    <n v="169.2"/>
    <x v="16"/>
    <x v="10"/>
    <x v="1"/>
    <x v="0"/>
    <x v="0"/>
    <x v="0"/>
    <x v="3"/>
    <x v="7"/>
    <x v="2"/>
    <x v="1"/>
  </r>
  <r>
    <x v="381"/>
    <x v="14"/>
    <x v="8"/>
    <x v="319"/>
    <n v="828.8"/>
    <x v="16"/>
    <x v="13"/>
    <x v="3"/>
    <x v="0"/>
    <x v="1"/>
    <x v="0"/>
    <x v="3"/>
    <x v="3"/>
    <x v="2"/>
    <x v="3"/>
  </r>
  <r>
    <x v="382"/>
    <x v="6"/>
    <x v="1"/>
    <x v="238"/>
    <n v="181.8"/>
    <x v="16"/>
    <x v="13"/>
    <x v="1"/>
    <x v="1"/>
    <x v="0"/>
    <x v="0"/>
    <x v="6"/>
    <x v="3"/>
    <x v="2"/>
    <x v="1"/>
  </r>
  <r>
    <x v="383"/>
    <x v="9"/>
    <x v="27"/>
    <x v="320"/>
    <n v="1614.4"/>
    <x v="16"/>
    <x v="13"/>
    <x v="2"/>
    <x v="1"/>
    <x v="0"/>
    <x v="0"/>
    <x v="6"/>
    <x v="3"/>
    <x v="2"/>
    <x v="2"/>
  </r>
  <r>
    <x v="384"/>
    <x v="4"/>
    <x v="9"/>
    <x v="307"/>
    <n v="180"/>
    <x v="16"/>
    <x v="18"/>
    <x v="2"/>
    <x v="1"/>
    <x v="0"/>
    <x v="0"/>
    <x v="7"/>
    <x v="1"/>
    <x v="2"/>
    <x v="2"/>
  </r>
  <r>
    <x v="385"/>
    <x v="6"/>
    <x v="13"/>
    <x v="321"/>
    <n v="499.79999999999995"/>
    <x v="16"/>
    <x v="21"/>
    <x v="0"/>
    <x v="2"/>
    <x v="0"/>
    <x v="0"/>
    <x v="7"/>
    <x v="2"/>
    <x v="2"/>
    <x v="0"/>
  </r>
  <r>
    <x v="386"/>
    <x v="2"/>
    <x v="14"/>
    <x v="322"/>
    <n v="1025.0999999999999"/>
    <x v="16"/>
    <x v="13"/>
    <x v="1"/>
    <x v="2"/>
    <x v="1"/>
    <x v="0"/>
    <x v="7"/>
    <x v="3"/>
    <x v="2"/>
    <x v="1"/>
  </r>
  <r>
    <x v="387"/>
    <x v="2"/>
    <x v="13"/>
    <x v="323"/>
    <n v="721.8"/>
    <x v="16"/>
    <x v="13"/>
    <x v="1"/>
    <x v="2"/>
    <x v="0"/>
    <x v="0"/>
    <x v="8"/>
    <x v="3"/>
    <x v="2"/>
    <x v="1"/>
  </r>
  <r>
    <x v="388"/>
    <x v="4"/>
    <x v="7"/>
    <x v="324"/>
    <n v="340"/>
    <x v="16"/>
    <x v="20"/>
    <x v="2"/>
    <x v="2"/>
    <x v="0"/>
    <x v="0"/>
    <x v="8"/>
    <x v="5"/>
    <x v="2"/>
    <x v="2"/>
  </r>
  <r>
    <x v="389"/>
    <x v="10"/>
    <x v="9"/>
    <x v="325"/>
    <n v="213"/>
    <x v="16"/>
    <x v="21"/>
    <x v="1"/>
    <x v="1"/>
    <x v="0"/>
    <x v="0"/>
    <x v="8"/>
    <x v="2"/>
    <x v="2"/>
    <x v="1"/>
  </r>
  <r>
    <x v="390"/>
    <x v="5"/>
    <x v="28"/>
    <x v="68"/>
    <n v="948"/>
    <x v="16"/>
    <x v="10"/>
    <x v="2"/>
    <x v="2"/>
    <x v="1"/>
    <x v="0"/>
    <x v="17"/>
    <x v="7"/>
    <x v="2"/>
    <x v="2"/>
  </r>
  <r>
    <x v="391"/>
    <x v="2"/>
    <x v="0"/>
    <x v="326"/>
    <n v="74"/>
    <x v="17"/>
    <x v="18"/>
    <x v="1"/>
    <x v="1"/>
    <x v="0"/>
    <x v="0"/>
    <x v="11"/>
    <x v="3"/>
    <x v="2"/>
    <x v="1"/>
  </r>
  <r>
    <x v="392"/>
    <x v="2"/>
    <x v="9"/>
    <x v="247"/>
    <n v="302"/>
    <x v="17"/>
    <x v="20"/>
    <x v="2"/>
    <x v="1"/>
    <x v="4"/>
    <x v="0"/>
    <x v="18"/>
    <x v="2"/>
    <x v="2"/>
    <x v="2"/>
  </r>
  <r>
    <x v="393"/>
    <x v="12"/>
    <x v="1"/>
    <x v="327"/>
    <n v="138.6"/>
    <x v="17"/>
    <x v="20"/>
    <x v="1"/>
    <x v="1"/>
    <x v="1"/>
    <x v="0"/>
    <x v="13"/>
    <x v="2"/>
    <x v="2"/>
    <x v="1"/>
  </r>
  <r>
    <x v="394"/>
    <x v="5"/>
    <x v="9"/>
    <x v="328"/>
    <n v="405"/>
    <x v="17"/>
    <x v="25"/>
    <x v="1"/>
    <x v="3"/>
    <x v="0"/>
    <x v="0"/>
    <x v="21"/>
    <x v="4"/>
    <x v="2"/>
    <x v="1"/>
  </r>
  <r>
    <x v="395"/>
    <x v="15"/>
    <x v="2"/>
    <x v="329"/>
    <n v="124.5"/>
    <x v="17"/>
    <x v="21"/>
    <x v="3"/>
    <x v="1"/>
    <x v="0"/>
    <x v="0"/>
    <x v="21"/>
    <x v="1"/>
    <x v="2"/>
    <x v="3"/>
  </r>
  <r>
    <x v="396"/>
    <x v="18"/>
    <x v="1"/>
    <x v="330"/>
    <n v="139.4"/>
    <x v="17"/>
    <x v="23"/>
    <x v="1"/>
    <x v="1"/>
    <x v="0"/>
    <x v="0"/>
    <x v="21"/>
    <x v="0"/>
    <x v="2"/>
    <x v="1"/>
  </r>
  <r>
    <x v="397"/>
    <x v="2"/>
    <x v="9"/>
    <x v="331"/>
    <n v="418"/>
    <x v="17"/>
    <x v="13"/>
    <x v="2"/>
    <x v="4"/>
    <x v="0"/>
    <x v="0"/>
    <x v="1"/>
    <x v="7"/>
    <x v="2"/>
    <x v="2"/>
  </r>
  <r>
    <x v="398"/>
    <x v="8"/>
    <x v="3"/>
    <x v="332"/>
    <n v="150.5"/>
    <x v="17"/>
    <x v="21"/>
    <x v="1"/>
    <x v="1"/>
    <x v="4"/>
    <x v="0"/>
    <x v="34"/>
    <x v="1"/>
    <x v="2"/>
    <x v="1"/>
  </r>
  <r>
    <x v="399"/>
    <x v="8"/>
    <x v="8"/>
    <x v="85"/>
    <n v="228.8"/>
    <x v="17"/>
    <x v="18"/>
    <x v="1"/>
    <x v="0"/>
    <x v="0"/>
    <x v="0"/>
    <x v="3"/>
    <x v="3"/>
    <x v="2"/>
    <x v="1"/>
  </r>
  <r>
    <x v="400"/>
    <x v="8"/>
    <x v="13"/>
    <x v="333"/>
    <n v="112.80000000000001"/>
    <x v="17"/>
    <x v="20"/>
    <x v="1"/>
    <x v="3"/>
    <x v="2"/>
    <x v="0"/>
    <x v="3"/>
    <x v="2"/>
    <x v="2"/>
    <x v="1"/>
  </r>
  <r>
    <x v="401"/>
    <x v="10"/>
    <x v="12"/>
    <x v="334"/>
    <n v="140.4"/>
    <x v="17"/>
    <x v="13"/>
    <x v="2"/>
    <x v="1"/>
    <x v="1"/>
    <x v="0"/>
    <x v="3"/>
    <x v="7"/>
    <x v="2"/>
    <x v="2"/>
  </r>
  <r>
    <x v="402"/>
    <x v="0"/>
    <x v="1"/>
    <x v="335"/>
    <n v="25.4"/>
    <x v="17"/>
    <x v="21"/>
    <x v="2"/>
    <x v="1"/>
    <x v="2"/>
    <x v="0"/>
    <x v="3"/>
    <x v="1"/>
    <x v="2"/>
    <x v="2"/>
  </r>
  <r>
    <x v="403"/>
    <x v="8"/>
    <x v="9"/>
    <x v="336"/>
    <n v="137"/>
    <x v="17"/>
    <x v="21"/>
    <x v="3"/>
    <x v="0"/>
    <x v="0"/>
    <x v="0"/>
    <x v="3"/>
    <x v="1"/>
    <x v="2"/>
    <x v="3"/>
  </r>
  <r>
    <x v="404"/>
    <x v="10"/>
    <x v="1"/>
    <x v="148"/>
    <n v="122.6"/>
    <x v="17"/>
    <x v="18"/>
    <x v="2"/>
    <x v="1"/>
    <x v="0"/>
    <x v="0"/>
    <x v="6"/>
    <x v="3"/>
    <x v="2"/>
    <x v="2"/>
  </r>
  <r>
    <x v="405"/>
    <x v="8"/>
    <x v="1"/>
    <x v="337"/>
    <n v="129.4"/>
    <x v="17"/>
    <x v="21"/>
    <x v="2"/>
    <x v="3"/>
    <x v="2"/>
    <x v="0"/>
    <x v="6"/>
    <x v="1"/>
    <x v="2"/>
    <x v="2"/>
  </r>
  <r>
    <x v="406"/>
    <x v="7"/>
    <x v="12"/>
    <x v="338"/>
    <n v="365.6"/>
    <x v="17"/>
    <x v="21"/>
    <x v="2"/>
    <x v="0"/>
    <x v="0"/>
    <x v="0"/>
    <x v="8"/>
    <x v="1"/>
    <x v="2"/>
    <x v="2"/>
  </r>
  <r>
    <x v="407"/>
    <x v="0"/>
    <x v="1"/>
    <x v="199"/>
    <n v="66.2"/>
    <x v="18"/>
    <x v="21"/>
    <x v="1"/>
    <x v="0"/>
    <x v="2"/>
    <x v="0"/>
    <x v="8"/>
    <x v="3"/>
    <x v="3"/>
    <x v="1"/>
  </r>
  <r>
    <x v="408"/>
    <x v="3"/>
    <x v="1"/>
    <x v="339"/>
    <n v="211.2"/>
    <x v="18"/>
    <x v="21"/>
    <x v="1"/>
    <x v="2"/>
    <x v="1"/>
    <x v="0"/>
    <x v="8"/>
    <x v="3"/>
    <x v="3"/>
    <x v="1"/>
  </r>
  <r>
    <x v="409"/>
    <x v="10"/>
    <x v="2"/>
    <x v="340"/>
    <n v="139.19999999999999"/>
    <x v="18"/>
    <x v="21"/>
    <x v="1"/>
    <x v="2"/>
    <x v="0"/>
    <x v="0"/>
    <x v="9"/>
    <x v="3"/>
    <x v="3"/>
    <x v="1"/>
  </r>
  <r>
    <x v="410"/>
    <x v="9"/>
    <x v="21"/>
    <x v="341"/>
    <n v="494.19999999999993"/>
    <x v="18"/>
    <x v="24"/>
    <x v="2"/>
    <x v="4"/>
    <x v="1"/>
    <x v="0"/>
    <x v="11"/>
    <x v="2"/>
    <x v="3"/>
    <x v="2"/>
  </r>
  <r>
    <x v="411"/>
    <x v="0"/>
    <x v="1"/>
    <x v="342"/>
    <n v="32.200000000000003"/>
    <x v="18"/>
    <x v="20"/>
    <x v="1"/>
    <x v="3"/>
    <x v="2"/>
    <x v="0"/>
    <x v="32"/>
    <x v="1"/>
    <x v="3"/>
    <x v="1"/>
  </r>
  <r>
    <x v="412"/>
    <x v="4"/>
    <x v="1"/>
    <x v="343"/>
    <n v="55.8"/>
    <x v="18"/>
    <x v="24"/>
    <x v="1"/>
    <x v="0"/>
    <x v="0"/>
    <x v="0"/>
    <x v="13"/>
    <x v="2"/>
    <x v="3"/>
    <x v="1"/>
  </r>
  <r>
    <x v="413"/>
    <x v="8"/>
    <x v="0"/>
    <x v="344"/>
    <n v="47.1"/>
    <x v="18"/>
    <x v="22"/>
    <x v="2"/>
    <x v="1"/>
    <x v="0"/>
    <x v="0"/>
    <x v="2"/>
    <x v="9"/>
    <x v="3"/>
    <x v="2"/>
  </r>
  <r>
    <x v="414"/>
    <x v="6"/>
    <x v="1"/>
    <x v="345"/>
    <n v="170"/>
    <x v="18"/>
    <x v="24"/>
    <x v="0"/>
    <x v="2"/>
    <x v="2"/>
    <x v="0"/>
    <x v="22"/>
    <x v="2"/>
    <x v="3"/>
    <x v="0"/>
  </r>
  <r>
    <x v="415"/>
    <x v="18"/>
    <x v="1"/>
    <x v="346"/>
    <n v="178"/>
    <x v="18"/>
    <x v="20"/>
    <x v="2"/>
    <x v="0"/>
    <x v="0"/>
    <x v="0"/>
    <x v="3"/>
    <x v="1"/>
    <x v="3"/>
    <x v="2"/>
  </r>
  <r>
    <x v="416"/>
    <x v="16"/>
    <x v="2"/>
    <x v="17"/>
    <n v="109.80000000000001"/>
    <x v="18"/>
    <x v="21"/>
    <x v="3"/>
    <x v="3"/>
    <x v="2"/>
    <x v="0"/>
    <x v="3"/>
    <x v="3"/>
    <x v="3"/>
    <x v="3"/>
  </r>
  <r>
    <x v="417"/>
    <x v="6"/>
    <x v="3"/>
    <x v="347"/>
    <n v="304.5"/>
    <x v="18"/>
    <x v="21"/>
    <x v="1"/>
    <x v="1"/>
    <x v="2"/>
    <x v="0"/>
    <x v="3"/>
    <x v="3"/>
    <x v="3"/>
    <x v="1"/>
  </r>
  <r>
    <x v="418"/>
    <x v="9"/>
    <x v="10"/>
    <x v="162"/>
    <n v="579.5"/>
    <x v="18"/>
    <x v="18"/>
    <x v="2"/>
    <x v="3"/>
    <x v="0"/>
    <x v="0"/>
    <x v="3"/>
    <x v="7"/>
    <x v="3"/>
    <x v="2"/>
  </r>
  <r>
    <x v="419"/>
    <x v="1"/>
    <x v="1"/>
    <x v="348"/>
    <n v="215.4"/>
    <x v="18"/>
    <x v="23"/>
    <x v="1"/>
    <x v="3"/>
    <x v="4"/>
    <x v="0"/>
    <x v="3"/>
    <x v="5"/>
    <x v="3"/>
    <x v="1"/>
  </r>
  <r>
    <x v="420"/>
    <x v="17"/>
    <x v="18"/>
    <x v="140"/>
    <n v="1484.6000000000001"/>
    <x v="18"/>
    <x v="21"/>
    <x v="1"/>
    <x v="1"/>
    <x v="0"/>
    <x v="0"/>
    <x v="3"/>
    <x v="3"/>
    <x v="3"/>
    <x v="1"/>
  </r>
  <r>
    <x v="421"/>
    <x v="2"/>
    <x v="7"/>
    <x v="349"/>
    <n v="1117"/>
    <x v="18"/>
    <x v="21"/>
    <x v="2"/>
    <x v="4"/>
    <x v="2"/>
    <x v="0"/>
    <x v="3"/>
    <x v="3"/>
    <x v="3"/>
    <x v="2"/>
  </r>
  <r>
    <x v="422"/>
    <x v="18"/>
    <x v="3"/>
    <x v="112"/>
    <n v="310.09999999999997"/>
    <x v="18"/>
    <x v="24"/>
    <x v="1"/>
    <x v="3"/>
    <x v="2"/>
    <x v="0"/>
    <x v="3"/>
    <x v="2"/>
    <x v="3"/>
    <x v="1"/>
  </r>
  <r>
    <x v="423"/>
    <x v="2"/>
    <x v="8"/>
    <x v="350"/>
    <n v="766.4"/>
    <x v="18"/>
    <x v="17"/>
    <x v="3"/>
    <x v="0"/>
    <x v="0"/>
    <x v="0"/>
    <x v="3"/>
    <x v="4"/>
    <x v="3"/>
    <x v="3"/>
  </r>
  <r>
    <x v="424"/>
    <x v="10"/>
    <x v="3"/>
    <x v="351"/>
    <n v="158.20000000000002"/>
    <x v="18"/>
    <x v="24"/>
    <x v="2"/>
    <x v="3"/>
    <x v="1"/>
    <x v="0"/>
    <x v="3"/>
    <x v="2"/>
    <x v="3"/>
    <x v="2"/>
  </r>
  <r>
    <x v="425"/>
    <x v="8"/>
    <x v="8"/>
    <x v="170"/>
    <n v="204.8"/>
    <x v="18"/>
    <x v="20"/>
    <x v="2"/>
    <x v="4"/>
    <x v="0"/>
    <x v="0"/>
    <x v="3"/>
    <x v="1"/>
    <x v="3"/>
    <x v="2"/>
  </r>
  <r>
    <x v="426"/>
    <x v="6"/>
    <x v="27"/>
    <x v="352"/>
    <n v="868.8"/>
    <x v="18"/>
    <x v="24"/>
    <x v="2"/>
    <x v="4"/>
    <x v="0"/>
    <x v="0"/>
    <x v="3"/>
    <x v="2"/>
    <x v="3"/>
    <x v="2"/>
  </r>
  <r>
    <x v="427"/>
    <x v="18"/>
    <x v="15"/>
    <x v="353"/>
    <n v="666.9"/>
    <x v="18"/>
    <x v="20"/>
    <x v="1"/>
    <x v="0"/>
    <x v="2"/>
    <x v="0"/>
    <x v="3"/>
    <x v="1"/>
    <x v="3"/>
    <x v="1"/>
  </r>
  <r>
    <x v="428"/>
    <x v="0"/>
    <x v="8"/>
    <x v="170"/>
    <n v="204.8"/>
    <x v="18"/>
    <x v="21"/>
    <x v="2"/>
    <x v="1"/>
    <x v="1"/>
    <x v="0"/>
    <x v="3"/>
    <x v="3"/>
    <x v="3"/>
    <x v="2"/>
  </r>
  <r>
    <x v="429"/>
    <x v="0"/>
    <x v="1"/>
    <x v="255"/>
    <n v="31.2"/>
    <x v="18"/>
    <x v="21"/>
    <x v="2"/>
    <x v="2"/>
    <x v="2"/>
    <x v="0"/>
    <x v="3"/>
    <x v="3"/>
    <x v="3"/>
    <x v="2"/>
  </r>
  <r>
    <x v="430"/>
    <x v="8"/>
    <x v="2"/>
    <x v="165"/>
    <n v="90.9"/>
    <x v="18"/>
    <x v="23"/>
    <x v="2"/>
    <x v="0"/>
    <x v="1"/>
    <x v="0"/>
    <x v="3"/>
    <x v="5"/>
    <x v="3"/>
    <x v="2"/>
  </r>
  <r>
    <x v="431"/>
    <x v="12"/>
    <x v="1"/>
    <x v="165"/>
    <n v="60.6"/>
    <x v="18"/>
    <x v="25"/>
    <x v="2"/>
    <x v="0"/>
    <x v="2"/>
    <x v="0"/>
    <x v="37"/>
    <x v="0"/>
    <x v="3"/>
    <x v="2"/>
  </r>
  <r>
    <x v="432"/>
    <x v="10"/>
    <x v="2"/>
    <x v="98"/>
    <n v="159"/>
    <x v="18"/>
    <x v="19"/>
    <x v="2"/>
    <x v="2"/>
    <x v="0"/>
    <x v="0"/>
    <x v="24"/>
    <x v="6"/>
    <x v="3"/>
    <x v="2"/>
  </r>
  <r>
    <x v="433"/>
    <x v="5"/>
    <x v="16"/>
    <x v="316"/>
    <n v="1078.2"/>
    <x v="18"/>
    <x v="24"/>
    <x v="1"/>
    <x v="2"/>
    <x v="4"/>
    <x v="0"/>
    <x v="25"/>
    <x v="2"/>
    <x v="3"/>
    <x v="1"/>
  </r>
  <r>
    <x v="434"/>
    <x v="9"/>
    <x v="1"/>
    <x v="108"/>
    <n v="91.4"/>
    <x v="18"/>
    <x v="21"/>
    <x v="2"/>
    <x v="1"/>
    <x v="2"/>
    <x v="0"/>
    <x v="6"/>
    <x v="3"/>
    <x v="3"/>
    <x v="2"/>
  </r>
  <r>
    <x v="435"/>
    <x v="8"/>
    <x v="12"/>
    <x v="354"/>
    <n v="184.4"/>
    <x v="18"/>
    <x v="21"/>
    <x v="1"/>
    <x v="0"/>
    <x v="0"/>
    <x v="0"/>
    <x v="6"/>
    <x v="3"/>
    <x v="3"/>
    <x v="1"/>
  </r>
  <r>
    <x v="436"/>
    <x v="8"/>
    <x v="2"/>
    <x v="25"/>
    <n v="52.5"/>
    <x v="18"/>
    <x v="21"/>
    <x v="2"/>
    <x v="0"/>
    <x v="2"/>
    <x v="0"/>
    <x v="8"/>
    <x v="3"/>
    <x v="3"/>
    <x v="2"/>
  </r>
  <r>
    <x v="437"/>
    <x v="10"/>
    <x v="2"/>
    <x v="355"/>
    <n v="109.5"/>
    <x v="18"/>
    <x v="26"/>
    <x v="1"/>
    <x v="2"/>
    <x v="0"/>
    <x v="0"/>
    <x v="8"/>
    <x v="11"/>
    <x v="3"/>
    <x v="1"/>
  </r>
  <r>
    <x v="438"/>
    <x v="8"/>
    <x v="1"/>
    <x v="356"/>
    <n v="95"/>
    <x v="19"/>
    <x v="24"/>
    <x v="2"/>
    <x v="1"/>
    <x v="0"/>
    <x v="0"/>
    <x v="8"/>
    <x v="1"/>
    <x v="3"/>
    <x v="2"/>
  </r>
  <r>
    <x v="439"/>
    <x v="6"/>
    <x v="9"/>
    <x v="357"/>
    <n v="228"/>
    <x v="19"/>
    <x v="24"/>
    <x v="2"/>
    <x v="0"/>
    <x v="2"/>
    <x v="0"/>
    <x v="8"/>
    <x v="1"/>
    <x v="3"/>
    <x v="2"/>
  </r>
  <r>
    <x v="440"/>
    <x v="9"/>
    <x v="1"/>
    <x v="93"/>
    <n v="101"/>
    <x v="19"/>
    <x v="24"/>
    <x v="1"/>
    <x v="0"/>
    <x v="1"/>
    <x v="0"/>
    <x v="17"/>
    <x v="1"/>
    <x v="3"/>
    <x v="1"/>
  </r>
  <r>
    <x v="441"/>
    <x v="2"/>
    <x v="7"/>
    <x v="358"/>
    <n v="998"/>
    <x v="19"/>
    <x v="23"/>
    <x v="2"/>
    <x v="2"/>
    <x v="1"/>
    <x v="0"/>
    <x v="17"/>
    <x v="2"/>
    <x v="3"/>
    <x v="2"/>
  </r>
  <r>
    <x v="442"/>
    <x v="8"/>
    <x v="20"/>
    <x v="359"/>
    <n v="288"/>
    <x v="19"/>
    <x v="24"/>
    <x v="3"/>
    <x v="4"/>
    <x v="1"/>
    <x v="0"/>
    <x v="26"/>
    <x v="1"/>
    <x v="3"/>
    <x v="3"/>
  </r>
  <r>
    <x v="443"/>
    <x v="17"/>
    <x v="2"/>
    <x v="351"/>
    <n v="67.800000000000011"/>
    <x v="19"/>
    <x v="20"/>
    <x v="1"/>
    <x v="1"/>
    <x v="0"/>
    <x v="0"/>
    <x v="11"/>
    <x v="3"/>
    <x v="3"/>
    <x v="1"/>
  </r>
  <r>
    <x v="444"/>
    <x v="1"/>
    <x v="20"/>
    <x v="360"/>
    <n v="1903.5"/>
    <x v="19"/>
    <x v="24"/>
    <x v="2"/>
    <x v="0"/>
    <x v="2"/>
    <x v="0"/>
    <x v="11"/>
    <x v="1"/>
    <x v="3"/>
    <x v="2"/>
  </r>
  <r>
    <x v="445"/>
    <x v="2"/>
    <x v="1"/>
    <x v="361"/>
    <n v="200.6"/>
    <x v="19"/>
    <x v="20"/>
    <x v="2"/>
    <x v="0"/>
    <x v="1"/>
    <x v="0"/>
    <x v="11"/>
    <x v="3"/>
    <x v="3"/>
    <x v="2"/>
  </r>
  <r>
    <x v="446"/>
    <x v="4"/>
    <x v="16"/>
    <x v="362"/>
    <n v="442.8"/>
    <x v="19"/>
    <x v="20"/>
    <x v="2"/>
    <x v="4"/>
    <x v="0"/>
    <x v="0"/>
    <x v="13"/>
    <x v="3"/>
    <x v="3"/>
    <x v="2"/>
  </r>
  <r>
    <x v="447"/>
    <x v="6"/>
    <x v="1"/>
    <x v="219"/>
    <n v="94.6"/>
    <x v="19"/>
    <x v="20"/>
    <x v="1"/>
    <x v="1"/>
    <x v="2"/>
    <x v="0"/>
    <x v="13"/>
    <x v="3"/>
    <x v="3"/>
    <x v="1"/>
  </r>
  <r>
    <x v="448"/>
    <x v="6"/>
    <x v="3"/>
    <x v="363"/>
    <n v="285.59999999999997"/>
    <x v="19"/>
    <x v="23"/>
    <x v="2"/>
    <x v="2"/>
    <x v="2"/>
    <x v="0"/>
    <x v="21"/>
    <x v="2"/>
    <x v="3"/>
    <x v="2"/>
  </r>
  <r>
    <x v="449"/>
    <x v="8"/>
    <x v="8"/>
    <x v="364"/>
    <n v="393.6"/>
    <x v="19"/>
    <x v="24"/>
    <x v="2"/>
    <x v="0"/>
    <x v="0"/>
    <x v="0"/>
    <x v="1"/>
    <x v="1"/>
    <x v="3"/>
    <x v="2"/>
  </r>
  <r>
    <x v="450"/>
    <x v="8"/>
    <x v="0"/>
    <x v="365"/>
    <n v="28.5"/>
    <x v="19"/>
    <x v="24"/>
    <x v="0"/>
    <x v="2"/>
    <x v="1"/>
    <x v="0"/>
    <x v="3"/>
    <x v="1"/>
    <x v="3"/>
    <x v="0"/>
  </r>
  <r>
    <x v="451"/>
    <x v="18"/>
    <x v="1"/>
    <x v="78"/>
    <n v="73.599999999999994"/>
    <x v="19"/>
    <x v="19"/>
    <x v="2"/>
    <x v="0"/>
    <x v="2"/>
    <x v="0"/>
    <x v="3"/>
    <x v="4"/>
    <x v="3"/>
    <x v="2"/>
  </r>
  <r>
    <x v="452"/>
    <x v="7"/>
    <x v="2"/>
    <x v="232"/>
    <n v="100.5"/>
    <x v="19"/>
    <x v="20"/>
    <x v="2"/>
    <x v="0"/>
    <x v="1"/>
    <x v="0"/>
    <x v="3"/>
    <x v="3"/>
    <x v="3"/>
    <x v="2"/>
  </r>
  <r>
    <x v="453"/>
    <x v="6"/>
    <x v="13"/>
    <x v="366"/>
    <n v="375"/>
    <x v="19"/>
    <x v="24"/>
    <x v="2"/>
    <x v="0"/>
    <x v="0"/>
    <x v="0"/>
    <x v="3"/>
    <x v="1"/>
    <x v="3"/>
    <x v="2"/>
  </r>
  <r>
    <x v="454"/>
    <x v="8"/>
    <x v="29"/>
    <x v="367"/>
    <n v="1916"/>
    <x v="19"/>
    <x v="20"/>
    <x v="2"/>
    <x v="3"/>
    <x v="0"/>
    <x v="0"/>
    <x v="3"/>
    <x v="3"/>
    <x v="3"/>
    <x v="2"/>
  </r>
  <r>
    <x v="455"/>
    <x v="6"/>
    <x v="13"/>
    <x v="368"/>
    <n v="557.40000000000009"/>
    <x v="19"/>
    <x v="27"/>
    <x v="2"/>
    <x v="0"/>
    <x v="4"/>
    <x v="0"/>
    <x v="3"/>
    <x v="11"/>
    <x v="3"/>
    <x v="2"/>
  </r>
  <r>
    <x v="456"/>
    <x v="12"/>
    <x v="2"/>
    <x v="369"/>
    <n v="132.30000000000001"/>
    <x v="19"/>
    <x v="21"/>
    <x v="2"/>
    <x v="1"/>
    <x v="1"/>
    <x v="0"/>
    <x v="43"/>
    <x v="7"/>
    <x v="3"/>
    <x v="2"/>
  </r>
  <r>
    <x v="457"/>
    <x v="0"/>
    <x v="0"/>
    <x v="370"/>
    <n v="11.4"/>
    <x v="20"/>
    <x v="23"/>
    <x v="2"/>
    <x v="2"/>
    <x v="0"/>
    <x v="0"/>
    <x v="5"/>
    <x v="1"/>
    <x v="3"/>
    <x v="2"/>
  </r>
  <r>
    <x v="458"/>
    <x v="6"/>
    <x v="0"/>
    <x v="371"/>
    <n v="83.7"/>
    <x v="20"/>
    <x v="23"/>
    <x v="2"/>
    <x v="0"/>
    <x v="2"/>
    <x v="0"/>
    <x v="6"/>
    <x v="1"/>
    <x v="3"/>
    <x v="2"/>
  </r>
  <r>
    <x v="459"/>
    <x v="10"/>
    <x v="1"/>
    <x v="372"/>
    <n v="46.4"/>
    <x v="20"/>
    <x v="24"/>
    <x v="1"/>
    <x v="2"/>
    <x v="0"/>
    <x v="0"/>
    <x v="8"/>
    <x v="3"/>
    <x v="3"/>
    <x v="1"/>
  </r>
  <r>
    <x v="460"/>
    <x v="2"/>
    <x v="0"/>
    <x v="373"/>
    <n v="162.1"/>
    <x v="20"/>
    <x v="25"/>
    <x v="2"/>
    <x v="0"/>
    <x v="2"/>
    <x v="0"/>
    <x v="9"/>
    <x v="2"/>
    <x v="3"/>
    <x v="2"/>
  </r>
  <r>
    <x v="461"/>
    <x v="6"/>
    <x v="12"/>
    <x v="364"/>
    <n v="196.8"/>
    <x v="20"/>
    <x v="17"/>
    <x v="1"/>
    <x v="1"/>
    <x v="0"/>
    <x v="0"/>
    <x v="9"/>
    <x v="5"/>
    <x v="3"/>
    <x v="1"/>
  </r>
  <r>
    <x v="462"/>
    <x v="1"/>
    <x v="1"/>
    <x v="156"/>
    <n v="122"/>
    <x v="20"/>
    <x v="24"/>
    <x v="1"/>
    <x v="3"/>
    <x v="0"/>
    <x v="0"/>
    <x v="10"/>
    <x v="3"/>
    <x v="3"/>
    <x v="1"/>
  </r>
  <r>
    <x v="463"/>
    <x v="2"/>
    <x v="7"/>
    <x v="213"/>
    <n v="531"/>
    <x v="20"/>
    <x v="23"/>
    <x v="1"/>
    <x v="0"/>
    <x v="0"/>
    <x v="0"/>
    <x v="11"/>
    <x v="1"/>
    <x v="3"/>
    <x v="1"/>
  </r>
  <r>
    <x v="464"/>
    <x v="4"/>
    <x v="1"/>
    <x v="9"/>
    <n v="44.8"/>
    <x v="20"/>
    <x v="23"/>
    <x v="0"/>
    <x v="1"/>
    <x v="2"/>
    <x v="0"/>
    <x v="13"/>
    <x v="1"/>
    <x v="3"/>
    <x v="0"/>
  </r>
  <r>
    <x v="465"/>
    <x v="1"/>
    <x v="9"/>
    <x v="374"/>
    <n v="376.5"/>
    <x v="20"/>
    <x v="24"/>
    <x v="1"/>
    <x v="0"/>
    <x v="0"/>
    <x v="0"/>
    <x v="21"/>
    <x v="3"/>
    <x v="3"/>
    <x v="1"/>
  </r>
  <r>
    <x v="466"/>
    <x v="6"/>
    <x v="0"/>
    <x v="286"/>
    <n v="48.5"/>
    <x v="20"/>
    <x v="24"/>
    <x v="2"/>
    <x v="0"/>
    <x v="1"/>
    <x v="0"/>
    <x v="21"/>
    <x v="3"/>
    <x v="3"/>
    <x v="2"/>
  </r>
  <r>
    <x v="467"/>
    <x v="6"/>
    <x v="0"/>
    <x v="325"/>
    <n v="42.6"/>
    <x v="20"/>
    <x v="17"/>
    <x v="2"/>
    <x v="3"/>
    <x v="0"/>
    <x v="0"/>
    <x v="1"/>
    <x v="5"/>
    <x v="3"/>
    <x v="2"/>
  </r>
  <r>
    <x v="468"/>
    <x v="5"/>
    <x v="9"/>
    <x v="11"/>
    <n v="245"/>
    <x v="20"/>
    <x v="24"/>
    <x v="1"/>
    <x v="0"/>
    <x v="0"/>
    <x v="0"/>
    <x v="22"/>
    <x v="3"/>
    <x v="3"/>
    <x v="1"/>
  </r>
  <r>
    <x v="469"/>
    <x v="8"/>
    <x v="2"/>
    <x v="375"/>
    <n v="93.9"/>
    <x v="20"/>
    <x v="24"/>
    <x v="1"/>
    <x v="2"/>
    <x v="1"/>
    <x v="0"/>
    <x v="3"/>
    <x v="3"/>
    <x v="3"/>
    <x v="1"/>
  </r>
  <r>
    <x v="470"/>
    <x v="2"/>
    <x v="1"/>
    <x v="376"/>
    <n v="170.8"/>
    <x v="20"/>
    <x v="24"/>
    <x v="2"/>
    <x v="2"/>
    <x v="0"/>
    <x v="0"/>
    <x v="3"/>
    <x v="3"/>
    <x v="3"/>
    <x v="2"/>
  </r>
  <r>
    <x v="471"/>
    <x v="8"/>
    <x v="12"/>
    <x v="152"/>
    <n v="160"/>
    <x v="20"/>
    <x v="24"/>
    <x v="3"/>
    <x v="0"/>
    <x v="2"/>
    <x v="0"/>
    <x v="3"/>
    <x v="3"/>
    <x v="3"/>
    <x v="3"/>
  </r>
  <r>
    <x v="472"/>
    <x v="5"/>
    <x v="1"/>
    <x v="153"/>
    <n v="77"/>
    <x v="20"/>
    <x v="25"/>
    <x v="1"/>
    <x v="1"/>
    <x v="2"/>
    <x v="0"/>
    <x v="3"/>
    <x v="2"/>
    <x v="3"/>
    <x v="1"/>
  </r>
  <r>
    <x v="473"/>
    <x v="2"/>
    <x v="1"/>
    <x v="211"/>
    <n v="115.6"/>
    <x v="20"/>
    <x v="24"/>
    <x v="0"/>
    <x v="0"/>
    <x v="0"/>
    <x v="0"/>
    <x v="3"/>
    <x v="3"/>
    <x v="3"/>
    <x v="0"/>
  </r>
  <r>
    <x v="474"/>
    <x v="8"/>
    <x v="0"/>
    <x v="359"/>
    <n v="19.2"/>
    <x v="20"/>
    <x v="24"/>
    <x v="2"/>
    <x v="0"/>
    <x v="4"/>
    <x v="0"/>
    <x v="3"/>
    <x v="3"/>
    <x v="3"/>
    <x v="2"/>
  </r>
  <r>
    <x v="475"/>
    <x v="6"/>
    <x v="13"/>
    <x v="377"/>
    <n v="688.8"/>
    <x v="20"/>
    <x v="25"/>
    <x v="1"/>
    <x v="1"/>
    <x v="1"/>
    <x v="0"/>
    <x v="3"/>
    <x v="2"/>
    <x v="3"/>
    <x v="1"/>
  </r>
  <r>
    <x v="476"/>
    <x v="10"/>
    <x v="3"/>
    <x v="72"/>
    <n v="338.8"/>
    <x v="20"/>
    <x v="25"/>
    <x v="2"/>
    <x v="3"/>
    <x v="1"/>
    <x v="0"/>
    <x v="3"/>
    <x v="2"/>
    <x v="3"/>
    <x v="2"/>
  </r>
  <r>
    <x v="477"/>
    <x v="9"/>
    <x v="9"/>
    <x v="378"/>
    <n v="366"/>
    <x v="20"/>
    <x v="24"/>
    <x v="2"/>
    <x v="1"/>
    <x v="4"/>
    <x v="0"/>
    <x v="3"/>
    <x v="3"/>
    <x v="3"/>
    <x v="2"/>
  </r>
  <r>
    <x v="478"/>
    <x v="15"/>
    <x v="1"/>
    <x v="379"/>
    <n v="97.2"/>
    <x v="20"/>
    <x v="17"/>
    <x v="2"/>
    <x v="3"/>
    <x v="0"/>
    <x v="0"/>
    <x v="3"/>
    <x v="5"/>
    <x v="3"/>
    <x v="2"/>
  </r>
  <r>
    <x v="479"/>
    <x v="0"/>
    <x v="13"/>
    <x v="242"/>
    <n v="292.20000000000005"/>
    <x v="20"/>
    <x v="24"/>
    <x v="1"/>
    <x v="0"/>
    <x v="0"/>
    <x v="0"/>
    <x v="3"/>
    <x v="3"/>
    <x v="3"/>
    <x v="1"/>
  </r>
  <r>
    <x v="480"/>
    <x v="4"/>
    <x v="1"/>
    <x v="380"/>
    <n v="64.400000000000006"/>
    <x v="20"/>
    <x v="25"/>
    <x v="1"/>
    <x v="2"/>
    <x v="2"/>
    <x v="0"/>
    <x v="3"/>
    <x v="2"/>
    <x v="3"/>
    <x v="1"/>
  </r>
  <r>
    <x v="481"/>
    <x v="15"/>
    <x v="8"/>
    <x v="136"/>
    <n v="206.4"/>
    <x v="20"/>
    <x v="24"/>
    <x v="1"/>
    <x v="0"/>
    <x v="0"/>
    <x v="0"/>
    <x v="37"/>
    <x v="3"/>
    <x v="3"/>
    <x v="1"/>
  </r>
  <r>
    <x v="482"/>
    <x v="6"/>
    <x v="1"/>
    <x v="381"/>
    <n v="189.6"/>
    <x v="21"/>
    <x v="17"/>
    <x v="2"/>
    <x v="1"/>
    <x v="1"/>
    <x v="0"/>
    <x v="25"/>
    <x v="2"/>
    <x v="3"/>
    <x v="2"/>
  </r>
  <r>
    <x v="483"/>
    <x v="15"/>
    <x v="30"/>
    <x v="382"/>
    <n v="1420"/>
    <x v="21"/>
    <x v="17"/>
    <x v="1"/>
    <x v="0"/>
    <x v="0"/>
    <x v="0"/>
    <x v="25"/>
    <x v="2"/>
    <x v="3"/>
    <x v="1"/>
  </r>
  <r>
    <x v="484"/>
    <x v="8"/>
    <x v="27"/>
    <x v="383"/>
    <n v="292.8"/>
    <x v="21"/>
    <x v="28"/>
    <x v="2"/>
    <x v="2"/>
    <x v="2"/>
    <x v="0"/>
    <x v="23"/>
    <x v="6"/>
    <x v="3"/>
    <x v="2"/>
  </r>
  <r>
    <x v="485"/>
    <x v="0"/>
    <x v="2"/>
    <x v="384"/>
    <n v="50.400000000000006"/>
    <x v="21"/>
    <x v="22"/>
    <x v="2"/>
    <x v="2"/>
    <x v="2"/>
    <x v="0"/>
    <x v="8"/>
    <x v="0"/>
    <x v="3"/>
    <x v="2"/>
  </r>
  <r>
    <x v="486"/>
    <x v="5"/>
    <x v="5"/>
    <x v="385"/>
    <n v="393.79999999999995"/>
    <x v="21"/>
    <x v="23"/>
    <x v="1"/>
    <x v="1"/>
    <x v="0"/>
    <x v="0"/>
    <x v="17"/>
    <x v="3"/>
    <x v="3"/>
    <x v="1"/>
  </r>
  <r>
    <x v="487"/>
    <x v="18"/>
    <x v="0"/>
    <x v="92"/>
    <n v="64.900000000000006"/>
    <x v="21"/>
    <x v="23"/>
    <x v="1"/>
    <x v="0"/>
    <x v="1"/>
    <x v="0"/>
    <x v="17"/>
    <x v="3"/>
    <x v="3"/>
    <x v="1"/>
  </r>
  <r>
    <x v="488"/>
    <x v="18"/>
    <x v="0"/>
    <x v="365"/>
    <n v="28.5"/>
    <x v="21"/>
    <x v="25"/>
    <x v="0"/>
    <x v="1"/>
    <x v="0"/>
    <x v="0"/>
    <x v="9"/>
    <x v="1"/>
    <x v="3"/>
    <x v="0"/>
  </r>
  <r>
    <x v="489"/>
    <x v="18"/>
    <x v="1"/>
    <x v="386"/>
    <n v="207"/>
    <x v="21"/>
    <x v="25"/>
    <x v="2"/>
    <x v="1"/>
    <x v="0"/>
    <x v="0"/>
    <x v="10"/>
    <x v="1"/>
    <x v="3"/>
    <x v="2"/>
  </r>
  <r>
    <x v="490"/>
    <x v="4"/>
    <x v="1"/>
    <x v="387"/>
    <n v="82.4"/>
    <x v="21"/>
    <x v="23"/>
    <x v="2"/>
    <x v="1"/>
    <x v="0"/>
    <x v="0"/>
    <x v="10"/>
    <x v="3"/>
    <x v="3"/>
    <x v="2"/>
  </r>
  <r>
    <x v="491"/>
    <x v="9"/>
    <x v="0"/>
    <x v="256"/>
    <n v="37.799999999999997"/>
    <x v="21"/>
    <x v="25"/>
    <x v="2"/>
    <x v="3"/>
    <x v="3"/>
    <x v="0"/>
    <x v="11"/>
    <x v="1"/>
    <x v="3"/>
    <x v="2"/>
  </r>
  <r>
    <x v="492"/>
    <x v="8"/>
    <x v="1"/>
    <x v="325"/>
    <n v="85.2"/>
    <x v="21"/>
    <x v="25"/>
    <x v="2"/>
    <x v="4"/>
    <x v="0"/>
    <x v="0"/>
    <x v="11"/>
    <x v="1"/>
    <x v="3"/>
    <x v="2"/>
  </r>
  <r>
    <x v="493"/>
    <x v="8"/>
    <x v="7"/>
    <x v="388"/>
    <n v="152"/>
    <x v="21"/>
    <x v="25"/>
    <x v="2"/>
    <x v="2"/>
    <x v="0"/>
    <x v="0"/>
    <x v="11"/>
    <x v="1"/>
    <x v="3"/>
    <x v="2"/>
  </r>
  <r>
    <x v="494"/>
    <x v="7"/>
    <x v="12"/>
    <x v="298"/>
    <n v="333.6"/>
    <x v="21"/>
    <x v="23"/>
    <x v="2"/>
    <x v="2"/>
    <x v="1"/>
    <x v="0"/>
    <x v="18"/>
    <x v="3"/>
    <x v="3"/>
    <x v="2"/>
  </r>
  <r>
    <x v="495"/>
    <x v="19"/>
    <x v="1"/>
    <x v="389"/>
    <n v="55.4"/>
    <x v="21"/>
    <x v="23"/>
    <x v="2"/>
    <x v="0"/>
    <x v="1"/>
    <x v="0"/>
    <x v="13"/>
    <x v="3"/>
    <x v="3"/>
    <x v="2"/>
  </r>
  <r>
    <x v="496"/>
    <x v="10"/>
    <x v="4"/>
    <x v="390"/>
    <n v="249.60000000000002"/>
    <x v="21"/>
    <x v="23"/>
    <x v="1"/>
    <x v="3"/>
    <x v="0"/>
    <x v="0"/>
    <x v="13"/>
    <x v="3"/>
    <x v="3"/>
    <x v="1"/>
  </r>
  <r>
    <x v="497"/>
    <x v="11"/>
    <x v="1"/>
    <x v="391"/>
    <n v="145.4"/>
    <x v="21"/>
    <x v="19"/>
    <x v="2"/>
    <x v="4"/>
    <x v="2"/>
    <x v="0"/>
    <x v="44"/>
    <x v="5"/>
    <x v="3"/>
    <x v="2"/>
  </r>
  <r>
    <x v="498"/>
    <x v="10"/>
    <x v="12"/>
    <x v="392"/>
    <n v="154.4"/>
    <x v="21"/>
    <x v="23"/>
    <x v="1"/>
    <x v="0"/>
    <x v="2"/>
    <x v="0"/>
    <x v="22"/>
    <x v="3"/>
    <x v="3"/>
    <x v="1"/>
  </r>
  <r>
    <x v="499"/>
    <x v="8"/>
    <x v="3"/>
    <x v="199"/>
    <n v="231.70000000000002"/>
    <x v="21"/>
    <x v="23"/>
    <x v="3"/>
    <x v="4"/>
    <x v="3"/>
    <x v="0"/>
    <x v="3"/>
    <x v="3"/>
    <x v="3"/>
    <x v="3"/>
  </r>
  <r>
    <x v="500"/>
    <x v="10"/>
    <x v="1"/>
    <x v="162"/>
    <n v="61"/>
    <x v="21"/>
    <x v="24"/>
    <x v="0"/>
    <x v="1"/>
    <x v="1"/>
    <x v="0"/>
    <x v="3"/>
    <x v="7"/>
    <x v="3"/>
    <x v="0"/>
  </r>
  <r>
    <x v="501"/>
    <x v="9"/>
    <x v="1"/>
    <x v="393"/>
    <n v="139.19999999999999"/>
    <x v="21"/>
    <x v="23"/>
    <x v="1"/>
    <x v="0"/>
    <x v="1"/>
    <x v="0"/>
    <x v="3"/>
    <x v="3"/>
    <x v="3"/>
    <x v="1"/>
  </r>
  <r>
    <x v="502"/>
    <x v="11"/>
    <x v="0"/>
    <x v="394"/>
    <n v="42.4"/>
    <x v="21"/>
    <x v="19"/>
    <x v="2"/>
    <x v="1"/>
    <x v="0"/>
    <x v="0"/>
    <x v="3"/>
    <x v="5"/>
    <x v="3"/>
    <x v="2"/>
  </r>
  <r>
    <x v="503"/>
    <x v="17"/>
    <x v="0"/>
    <x v="380"/>
    <n v="32.200000000000003"/>
    <x v="21"/>
    <x v="17"/>
    <x v="2"/>
    <x v="2"/>
    <x v="1"/>
    <x v="0"/>
    <x v="3"/>
    <x v="2"/>
    <x v="3"/>
    <x v="2"/>
  </r>
  <r>
    <x v="504"/>
    <x v="6"/>
    <x v="1"/>
    <x v="329"/>
    <n v="83"/>
    <x v="21"/>
    <x v="17"/>
    <x v="2"/>
    <x v="0"/>
    <x v="2"/>
    <x v="0"/>
    <x v="3"/>
    <x v="2"/>
    <x v="3"/>
    <x v="2"/>
  </r>
  <r>
    <x v="505"/>
    <x v="16"/>
    <x v="11"/>
    <x v="395"/>
    <n v="530.1"/>
    <x v="21"/>
    <x v="19"/>
    <x v="2"/>
    <x v="3"/>
    <x v="0"/>
    <x v="0"/>
    <x v="3"/>
    <x v="5"/>
    <x v="3"/>
    <x v="2"/>
  </r>
  <r>
    <x v="506"/>
    <x v="2"/>
    <x v="0"/>
    <x v="140"/>
    <n v="57.1"/>
    <x v="21"/>
    <x v="17"/>
    <x v="2"/>
    <x v="1"/>
    <x v="0"/>
    <x v="0"/>
    <x v="3"/>
    <x v="2"/>
    <x v="3"/>
    <x v="2"/>
  </r>
  <r>
    <x v="507"/>
    <x v="6"/>
    <x v="0"/>
    <x v="27"/>
    <n v="57.2"/>
    <x v="21"/>
    <x v="25"/>
    <x v="1"/>
    <x v="1"/>
    <x v="0"/>
    <x v="0"/>
    <x v="3"/>
    <x v="1"/>
    <x v="3"/>
    <x v="1"/>
  </r>
  <r>
    <x v="508"/>
    <x v="8"/>
    <x v="1"/>
    <x v="334"/>
    <n v="70.2"/>
    <x v="21"/>
    <x v="23"/>
    <x v="1"/>
    <x v="1"/>
    <x v="0"/>
    <x v="0"/>
    <x v="6"/>
    <x v="3"/>
    <x v="3"/>
    <x v="1"/>
  </r>
  <r>
    <x v="509"/>
    <x v="1"/>
    <x v="0"/>
    <x v="184"/>
    <n v="52.1"/>
    <x v="21"/>
    <x v="25"/>
    <x v="2"/>
    <x v="4"/>
    <x v="1"/>
    <x v="0"/>
    <x v="8"/>
    <x v="1"/>
    <x v="3"/>
    <x v="2"/>
  </r>
  <r>
    <x v="510"/>
    <x v="13"/>
    <x v="2"/>
    <x v="396"/>
    <n v="179.39999999999998"/>
    <x v="21"/>
    <x v="25"/>
    <x v="2"/>
    <x v="4"/>
    <x v="1"/>
    <x v="0"/>
    <x v="8"/>
    <x v="1"/>
    <x v="3"/>
    <x v="2"/>
  </r>
  <r>
    <x v="511"/>
    <x v="3"/>
    <x v="12"/>
    <x v="321"/>
    <n v="333.2"/>
    <x v="21"/>
    <x v="24"/>
    <x v="0"/>
    <x v="2"/>
    <x v="0"/>
    <x v="0"/>
    <x v="8"/>
    <x v="7"/>
    <x v="3"/>
    <x v="0"/>
  </r>
  <r>
    <x v="512"/>
    <x v="15"/>
    <x v="4"/>
    <x v="397"/>
    <n v="495.59999999999997"/>
    <x v="21"/>
    <x v="23"/>
    <x v="2"/>
    <x v="1"/>
    <x v="0"/>
    <x v="0"/>
    <x v="8"/>
    <x v="3"/>
    <x v="3"/>
    <x v="2"/>
  </r>
  <r>
    <x v="513"/>
    <x v="8"/>
    <x v="9"/>
    <x v="398"/>
    <n v="80"/>
    <x v="21"/>
    <x v="25"/>
    <x v="1"/>
    <x v="4"/>
    <x v="1"/>
    <x v="0"/>
    <x v="9"/>
    <x v="1"/>
    <x v="3"/>
    <x v="1"/>
  </r>
  <r>
    <x v="514"/>
    <x v="10"/>
    <x v="1"/>
    <x v="390"/>
    <n v="41.6"/>
    <x v="22"/>
    <x v="17"/>
    <x v="1"/>
    <x v="0"/>
    <x v="2"/>
    <x v="0"/>
    <x v="11"/>
    <x v="1"/>
    <x v="3"/>
    <x v="1"/>
  </r>
  <r>
    <x v="515"/>
    <x v="8"/>
    <x v="31"/>
    <x v="399"/>
    <n v="758.80000000000007"/>
    <x v="22"/>
    <x v="25"/>
    <x v="0"/>
    <x v="3"/>
    <x v="2"/>
    <x v="0"/>
    <x v="11"/>
    <x v="3"/>
    <x v="3"/>
    <x v="0"/>
  </r>
  <r>
    <x v="516"/>
    <x v="10"/>
    <x v="1"/>
    <x v="400"/>
    <n v="77.8"/>
    <x v="22"/>
    <x v="17"/>
    <x v="2"/>
    <x v="0"/>
    <x v="0"/>
    <x v="0"/>
    <x v="18"/>
    <x v="1"/>
    <x v="3"/>
    <x v="2"/>
  </r>
  <r>
    <x v="517"/>
    <x v="0"/>
    <x v="1"/>
    <x v="401"/>
    <n v="21.6"/>
    <x v="22"/>
    <x v="19"/>
    <x v="2"/>
    <x v="1"/>
    <x v="2"/>
    <x v="0"/>
    <x v="45"/>
    <x v="2"/>
    <x v="3"/>
    <x v="2"/>
  </r>
  <r>
    <x v="518"/>
    <x v="4"/>
    <x v="15"/>
    <x v="72"/>
    <n v="629.19999999999993"/>
    <x v="22"/>
    <x v="22"/>
    <x v="2"/>
    <x v="0"/>
    <x v="0"/>
    <x v="0"/>
    <x v="21"/>
    <x v="5"/>
    <x v="3"/>
    <x v="2"/>
  </r>
  <r>
    <x v="519"/>
    <x v="4"/>
    <x v="2"/>
    <x v="402"/>
    <n v="87.6"/>
    <x v="22"/>
    <x v="19"/>
    <x v="2"/>
    <x v="1"/>
    <x v="1"/>
    <x v="0"/>
    <x v="2"/>
    <x v="2"/>
    <x v="3"/>
    <x v="2"/>
  </r>
  <r>
    <x v="520"/>
    <x v="4"/>
    <x v="1"/>
    <x v="403"/>
    <n v="50.2"/>
    <x v="22"/>
    <x v="25"/>
    <x v="1"/>
    <x v="0"/>
    <x v="1"/>
    <x v="0"/>
    <x v="2"/>
    <x v="3"/>
    <x v="3"/>
    <x v="1"/>
  </r>
  <r>
    <x v="521"/>
    <x v="7"/>
    <x v="2"/>
    <x v="404"/>
    <n v="196.79999999999998"/>
    <x v="22"/>
    <x v="23"/>
    <x v="2"/>
    <x v="2"/>
    <x v="1"/>
    <x v="0"/>
    <x v="3"/>
    <x v="7"/>
    <x v="3"/>
    <x v="2"/>
  </r>
  <r>
    <x v="522"/>
    <x v="2"/>
    <x v="1"/>
    <x v="405"/>
    <n v="114.6"/>
    <x v="22"/>
    <x v="23"/>
    <x v="0"/>
    <x v="0"/>
    <x v="0"/>
    <x v="0"/>
    <x v="3"/>
    <x v="7"/>
    <x v="3"/>
    <x v="0"/>
  </r>
  <r>
    <x v="523"/>
    <x v="9"/>
    <x v="12"/>
    <x v="9"/>
    <n v="89.6"/>
    <x v="22"/>
    <x v="25"/>
    <x v="2"/>
    <x v="2"/>
    <x v="2"/>
    <x v="0"/>
    <x v="3"/>
    <x v="3"/>
    <x v="3"/>
    <x v="2"/>
  </r>
  <r>
    <x v="524"/>
    <x v="12"/>
    <x v="11"/>
    <x v="108"/>
    <n v="411.3"/>
    <x v="22"/>
    <x v="25"/>
    <x v="2"/>
    <x v="0"/>
    <x v="0"/>
    <x v="0"/>
    <x v="3"/>
    <x v="3"/>
    <x v="3"/>
    <x v="2"/>
  </r>
  <r>
    <x v="525"/>
    <x v="8"/>
    <x v="1"/>
    <x v="143"/>
    <n v="58.6"/>
    <x v="22"/>
    <x v="25"/>
    <x v="1"/>
    <x v="1"/>
    <x v="0"/>
    <x v="0"/>
    <x v="3"/>
    <x v="3"/>
    <x v="3"/>
    <x v="1"/>
  </r>
  <r>
    <x v="526"/>
    <x v="18"/>
    <x v="32"/>
    <x v="326"/>
    <n v="1628"/>
    <x v="22"/>
    <x v="25"/>
    <x v="1"/>
    <x v="0"/>
    <x v="2"/>
    <x v="0"/>
    <x v="3"/>
    <x v="3"/>
    <x v="3"/>
    <x v="1"/>
  </r>
  <r>
    <x v="527"/>
    <x v="14"/>
    <x v="1"/>
    <x v="406"/>
    <n v="78.400000000000006"/>
    <x v="22"/>
    <x v="17"/>
    <x v="2"/>
    <x v="1"/>
    <x v="0"/>
    <x v="0"/>
    <x v="3"/>
    <x v="1"/>
    <x v="3"/>
    <x v="2"/>
  </r>
  <r>
    <x v="528"/>
    <x v="4"/>
    <x v="14"/>
    <x v="407"/>
    <n v="1065.9000000000001"/>
    <x v="22"/>
    <x v="25"/>
    <x v="2"/>
    <x v="2"/>
    <x v="1"/>
    <x v="0"/>
    <x v="3"/>
    <x v="3"/>
    <x v="3"/>
    <x v="2"/>
  </r>
  <r>
    <x v="529"/>
    <x v="10"/>
    <x v="1"/>
    <x v="110"/>
    <n v="120.2"/>
    <x v="22"/>
    <x v="25"/>
    <x v="2"/>
    <x v="3"/>
    <x v="0"/>
    <x v="0"/>
    <x v="3"/>
    <x v="3"/>
    <x v="3"/>
    <x v="2"/>
  </r>
  <r>
    <x v="530"/>
    <x v="0"/>
    <x v="12"/>
    <x v="408"/>
    <n v="44.8"/>
    <x v="22"/>
    <x v="25"/>
    <x v="2"/>
    <x v="3"/>
    <x v="1"/>
    <x v="0"/>
    <x v="3"/>
    <x v="3"/>
    <x v="3"/>
    <x v="2"/>
  </r>
  <r>
    <x v="531"/>
    <x v="8"/>
    <x v="1"/>
    <x v="409"/>
    <n v="45.8"/>
    <x v="22"/>
    <x v="25"/>
    <x v="2"/>
    <x v="0"/>
    <x v="0"/>
    <x v="0"/>
    <x v="6"/>
    <x v="3"/>
    <x v="3"/>
    <x v="2"/>
  </r>
  <r>
    <x v="532"/>
    <x v="1"/>
    <x v="1"/>
    <x v="410"/>
    <n v="75.2"/>
    <x v="22"/>
    <x v="19"/>
    <x v="2"/>
    <x v="0"/>
    <x v="0"/>
    <x v="0"/>
    <x v="6"/>
    <x v="2"/>
    <x v="3"/>
    <x v="2"/>
  </r>
  <r>
    <x v="533"/>
    <x v="6"/>
    <x v="0"/>
    <x v="394"/>
    <n v="42.4"/>
    <x v="22"/>
    <x v="25"/>
    <x v="2"/>
    <x v="3"/>
    <x v="2"/>
    <x v="0"/>
    <x v="6"/>
    <x v="3"/>
    <x v="3"/>
    <x v="2"/>
  </r>
  <r>
    <x v="534"/>
    <x v="8"/>
    <x v="1"/>
    <x v="266"/>
    <n v="39.200000000000003"/>
    <x v="22"/>
    <x v="22"/>
    <x v="2"/>
    <x v="2"/>
    <x v="0"/>
    <x v="0"/>
    <x v="7"/>
    <x v="5"/>
    <x v="3"/>
    <x v="2"/>
  </r>
  <r>
    <x v="535"/>
    <x v="9"/>
    <x v="0"/>
    <x v="411"/>
    <n v="90.5"/>
    <x v="22"/>
    <x v="19"/>
    <x v="2"/>
    <x v="2"/>
    <x v="0"/>
    <x v="0"/>
    <x v="7"/>
    <x v="2"/>
    <x v="3"/>
    <x v="2"/>
  </r>
  <r>
    <x v="536"/>
    <x v="16"/>
    <x v="5"/>
    <x v="412"/>
    <n v="372.9"/>
    <x v="22"/>
    <x v="25"/>
    <x v="1"/>
    <x v="2"/>
    <x v="1"/>
    <x v="0"/>
    <x v="7"/>
    <x v="3"/>
    <x v="3"/>
    <x v="1"/>
  </r>
  <r>
    <x v="537"/>
    <x v="0"/>
    <x v="1"/>
    <x v="413"/>
    <n v="65.599999999999994"/>
    <x v="22"/>
    <x v="17"/>
    <x v="2"/>
    <x v="4"/>
    <x v="4"/>
    <x v="0"/>
    <x v="8"/>
    <x v="1"/>
    <x v="3"/>
    <x v="2"/>
  </r>
  <r>
    <x v="538"/>
    <x v="15"/>
    <x v="0"/>
    <x v="308"/>
    <n v="49.9"/>
    <x v="22"/>
    <x v="25"/>
    <x v="1"/>
    <x v="3"/>
    <x v="1"/>
    <x v="0"/>
    <x v="8"/>
    <x v="3"/>
    <x v="3"/>
    <x v="1"/>
  </r>
  <r>
    <x v="539"/>
    <x v="7"/>
    <x v="9"/>
    <x v="414"/>
    <n v="396"/>
    <x v="22"/>
    <x v="25"/>
    <x v="2"/>
    <x v="4"/>
    <x v="0"/>
    <x v="0"/>
    <x v="8"/>
    <x v="3"/>
    <x v="3"/>
    <x v="2"/>
  </r>
  <r>
    <x v="540"/>
    <x v="8"/>
    <x v="27"/>
    <x v="415"/>
    <n v="312"/>
    <x v="22"/>
    <x v="17"/>
    <x v="1"/>
    <x v="3"/>
    <x v="2"/>
    <x v="0"/>
    <x v="8"/>
    <x v="1"/>
    <x v="3"/>
    <x v="1"/>
  </r>
  <r>
    <x v="541"/>
    <x v="8"/>
    <x v="12"/>
    <x v="53"/>
    <n v="72"/>
    <x v="22"/>
    <x v="25"/>
    <x v="1"/>
    <x v="1"/>
    <x v="0"/>
    <x v="0"/>
    <x v="10"/>
    <x v="3"/>
    <x v="3"/>
    <x v="1"/>
  </r>
  <r>
    <x v="542"/>
    <x v="9"/>
    <x v="2"/>
    <x v="206"/>
    <n v="137.69999999999999"/>
    <x v="22"/>
    <x v="17"/>
    <x v="2"/>
    <x v="1"/>
    <x v="1"/>
    <x v="0"/>
    <x v="10"/>
    <x v="1"/>
    <x v="3"/>
    <x v="2"/>
  </r>
  <r>
    <x v="543"/>
    <x v="11"/>
    <x v="0"/>
    <x v="387"/>
    <n v="41.2"/>
    <x v="22"/>
    <x v="17"/>
    <x v="2"/>
    <x v="1"/>
    <x v="2"/>
    <x v="0"/>
    <x v="11"/>
    <x v="1"/>
    <x v="3"/>
    <x v="2"/>
  </r>
  <r>
    <x v="544"/>
    <x v="2"/>
    <x v="7"/>
    <x v="416"/>
    <n v="1672"/>
    <x v="22"/>
    <x v="17"/>
    <x v="2"/>
    <x v="2"/>
    <x v="2"/>
    <x v="0"/>
    <x v="32"/>
    <x v="1"/>
    <x v="3"/>
    <x v="2"/>
  </r>
  <r>
    <x v="545"/>
    <x v="6"/>
    <x v="17"/>
    <x v="417"/>
    <n v="2235"/>
    <x v="23"/>
    <x v="22"/>
    <x v="2"/>
    <x v="1"/>
    <x v="2"/>
    <x v="0"/>
    <x v="38"/>
    <x v="2"/>
    <x v="3"/>
    <x v="2"/>
  </r>
  <r>
    <x v="546"/>
    <x v="7"/>
    <x v="12"/>
    <x v="418"/>
    <n v="157.19999999999999"/>
    <x v="23"/>
    <x v="17"/>
    <x v="0"/>
    <x v="2"/>
    <x v="0"/>
    <x v="0"/>
    <x v="19"/>
    <x v="3"/>
    <x v="3"/>
    <x v="0"/>
  </r>
  <r>
    <x v="547"/>
    <x v="9"/>
    <x v="0"/>
    <x v="419"/>
    <n v="68.5"/>
    <x v="23"/>
    <x v="22"/>
    <x v="1"/>
    <x v="1"/>
    <x v="2"/>
    <x v="0"/>
    <x v="12"/>
    <x v="2"/>
    <x v="3"/>
    <x v="1"/>
  </r>
  <r>
    <x v="548"/>
    <x v="0"/>
    <x v="2"/>
    <x v="243"/>
    <n v="67.5"/>
    <x v="23"/>
    <x v="25"/>
    <x v="2"/>
    <x v="4"/>
    <x v="0"/>
    <x v="0"/>
    <x v="13"/>
    <x v="7"/>
    <x v="3"/>
    <x v="2"/>
  </r>
  <r>
    <x v="549"/>
    <x v="1"/>
    <x v="0"/>
    <x v="196"/>
    <n v="48"/>
    <x v="23"/>
    <x v="17"/>
    <x v="3"/>
    <x v="4"/>
    <x v="1"/>
    <x v="0"/>
    <x v="46"/>
    <x v="3"/>
    <x v="3"/>
    <x v="3"/>
  </r>
  <r>
    <x v="550"/>
    <x v="6"/>
    <x v="0"/>
    <x v="420"/>
    <n v="94"/>
    <x v="23"/>
    <x v="17"/>
    <x v="1"/>
    <x v="3"/>
    <x v="1"/>
    <x v="0"/>
    <x v="1"/>
    <x v="3"/>
    <x v="3"/>
    <x v="1"/>
  </r>
  <r>
    <x v="551"/>
    <x v="8"/>
    <x v="2"/>
    <x v="421"/>
    <n v="65.699999999999989"/>
    <x v="23"/>
    <x v="17"/>
    <x v="2"/>
    <x v="0"/>
    <x v="0"/>
    <x v="0"/>
    <x v="44"/>
    <x v="3"/>
    <x v="3"/>
    <x v="2"/>
  </r>
  <r>
    <x v="552"/>
    <x v="6"/>
    <x v="3"/>
    <x v="92"/>
    <n v="454.30000000000007"/>
    <x v="23"/>
    <x v="17"/>
    <x v="2"/>
    <x v="0"/>
    <x v="0"/>
    <x v="0"/>
    <x v="3"/>
    <x v="3"/>
    <x v="3"/>
    <x v="2"/>
  </r>
  <r>
    <x v="553"/>
    <x v="12"/>
    <x v="0"/>
    <x v="422"/>
    <n v="52.9"/>
    <x v="23"/>
    <x v="25"/>
    <x v="2"/>
    <x v="1"/>
    <x v="1"/>
    <x v="0"/>
    <x v="3"/>
    <x v="7"/>
    <x v="3"/>
    <x v="2"/>
  </r>
  <r>
    <x v="554"/>
    <x v="8"/>
    <x v="2"/>
    <x v="423"/>
    <n v="76.5"/>
    <x v="23"/>
    <x v="17"/>
    <x v="2"/>
    <x v="1"/>
    <x v="2"/>
    <x v="0"/>
    <x v="3"/>
    <x v="3"/>
    <x v="3"/>
    <x v="2"/>
  </r>
  <r>
    <x v="555"/>
    <x v="6"/>
    <x v="2"/>
    <x v="424"/>
    <n v="155.69999999999999"/>
    <x v="23"/>
    <x v="17"/>
    <x v="2"/>
    <x v="3"/>
    <x v="0"/>
    <x v="0"/>
    <x v="3"/>
    <x v="3"/>
    <x v="3"/>
    <x v="2"/>
  </r>
  <r>
    <x v="556"/>
    <x v="5"/>
    <x v="0"/>
    <x v="425"/>
    <n v="46.3"/>
    <x v="23"/>
    <x v="22"/>
    <x v="2"/>
    <x v="4"/>
    <x v="0"/>
    <x v="0"/>
    <x v="3"/>
    <x v="2"/>
    <x v="3"/>
    <x v="2"/>
  </r>
  <r>
    <x v="557"/>
    <x v="6"/>
    <x v="1"/>
    <x v="197"/>
    <n v="136.4"/>
    <x v="23"/>
    <x v="19"/>
    <x v="2"/>
    <x v="3"/>
    <x v="0"/>
    <x v="0"/>
    <x v="3"/>
    <x v="1"/>
    <x v="3"/>
    <x v="2"/>
  </r>
  <r>
    <x v="558"/>
    <x v="1"/>
    <x v="0"/>
    <x v="7"/>
    <n v="40.299999999999997"/>
    <x v="23"/>
    <x v="17"/>
    <x v="1"/>
    <x v="0"/>
    <x v="1"/>
    <x v="0"/>
    <x v="3"/>
    <x v="3"/>
    <x v="3"/>
    <x v="1"/>
  </r>
  <r>
    <x v="559"/>
    <x v="2"/>
    <x v="2"/>
    <x v="54"/>
    <n v="273.89999999999998"/>
    <x v="23"/>
    <x v="28"/>
    <x v="1"/>
    <x v="0"/>
    <x v="2"/>
    <x v="0"/>
    <x v="6"/>
    <x v="0"/>
    <x v="3"/>
    <x v="1"/>
  </r>
  <r>
    <x v="560"/>
    <x v="0"/>
    <x v="2"/>
    <x v="426"/>
    <n v="35.700000000000003"/>
    <x v="23"/>
    <x v="17"/>
    <x v="2"/>
    <x v="0"/>
    <x v="1"/>
    <x v="0"/>
    <x v="6"/>
    <x v="3"/>
    <x v="3"/>
    <x v="2"/>
  </r>
  <r>
    <x v="561"/>
    <x v="2"/>
    <x v="1"/>
    <x v="427"/>
    <n v="127"/>
    <x v="23"/>
    <x v="19"/>
    <x v="1"/>
    <x v="1"/>
    <x v="0"/>
    <x v="0"/>
    <x v="6"/>
    <x v="1"/>
    <x v="3"/>
    <x v="1"/>
  </r>
  <r>
    <x v="562"/>
    <x v="4"/>
    <x v="1"/>
    <x v="399"/>
    <n v="54.2"/>
    <x v="23"/>
    <x v="22"/>
    <x v="1"/>
    <x v="2"/>
    <x v="2"/>
    <x v="0"/>
    <x v="6"/>
    <x v="2"/>
    <x v="3"/>
    <x v="1"/>
  </r>
  <r>
    <x v="563"/>
    <x v="1"/>
    <x v="1"/>
    <x v="428"/>
    <n v="164.2"/>
    <x v="24"/>
    <x v="29"/>
    <x v="1"/>
    <x v="1"/>
    <x v="1"/>
    <x v="0"/>
    <x v="7"/>
    <x v="2"/>
    <x v="3"/>
    <x v="1"/>
  </r>
  <r>
    <x v="564"/>
    <x v="3"/>
    <x v="9"/>
    <x v="429"/>
    <n v="214.5"/>
    <x v="24"/>
    <x v="22"/>
    <x v="2"/>
    <x v="1"/>
    <x v="0"/>
    <x v="0"/>
    <x v="8"/>
    <x v="1"/>
    <x v="3"/>
    <x v="2"/>
  </r>
  <r>
    <x v="565"/>
    <x v="8"/>
    <x v="5"/>
    <x v="430"/>
    <n v="416.9"/>
    <x v="24"/>
    <x v="30"/>
    <x v="1"/>
    <x v="0"/>
    <x v="0"/>
    <x v="0"/>
    <x v="8"/>
    <x v="6"/>
    <x v="3"/>
    <x v="1"/>
  </r>
  <r>
    <x v="566"/>
    <x v="0"/>
    <x v="0"/>
    <x v="9"/>
    <n v="22.4"/>
    <x v="24"/>
    <x v="19"/>
    <x v="2"/>
    <x v="0"/>
    <x v="1"/>
    <x v="0"/>
    <x v="17"/>
    <x v="3"/>
    <x v="3"/>
    <x v="2"/>
  </r>
  <r>
    <x v="567"/>
    <x v="2"/>
    <x v="15"/>
    <x v="22"/>
    <n v="1038.7"/>
    <x v="24"/>
    <x v="31"/>
    <x v="2"/>
    <x v="3"/>
    <x v="1"/>
    <x v="0"/>
    <x v="11"/>
    <x v="10"/>
    <x v="3"/>
    <x v="2"/>
  </r>
  <r>
    <x v="568"/>
    <x v="1"/>
    <x v="0"/>
    <x v="431"/>
    <n v="70.599999999999994"/>
    <x v="24"/>
    <x v="29"/>
    <x v="2"/>
    <x v="0"/>
    <x v="1"/>
    <x v="0"/>
    <x v="11"/>
    <x v="2"/>
    <x v="3"/>
    <x v="2"/>
  </r>
  <r>
    <x v="569"/>
    <x v="6"/>
    <x v="0"/>
    <x v="432"/>
    <n v="49.5"/>
    <x v="24"/>
    <x v="22"/>
    <x v="1"/>
    <x v="0"/>
    <x v="0"/>
    <x v="0"/>
    <x v="13"/>
    <x v="1"/>
    <x v="3"/>
    <x v="1"/>
  </r>
  <r>
    <x v="570"/>
    <x v="2"/>
    <x v="1"/>
    <x v="433"/>
    <n v="193.2"/>
    <x v="24"/>
    <x v="22"/>
    <x v="1"/>
    <x v="0"/>
    <x v="0"/>
    <x v="0"/>
    <x v="21"/>
    <x v="1"/>
    <x v="3"/>
    <x v="1"/>
  </r>
  <r>
    <x v="571"/>
    <x v="6"/>
    <x v="1"/>
    <x v="434"/>
    <n v="105.6"/>
    <x v="24"/>
    <x v="19"/>
    <x v="2"/>
    <x v="1"/>
    <x v="1"/>
    <x v="0"/>
    <x v="21"/>
    <x v="3"/>
    <x v="3"/>
    <x v="2"/>
  </r>
  <r>
    <x v="572"/>
    <x v="2"/>
    <x v="0"/>
    <x v="435"/>
    <n v="101.7"/>
    <x v="24"/>
    <x v="19"/>
    <x v="1"/>
    <x v="0"/>
    <x v="0"/>
    <x v="0"/>
    <x v="1"/>
    <x v="3"/>
    <x v="3"/>
    <x v="1"/>
  </r>
  <r>
    <x v="573"/>
    <x v="4"/>
    <x v="9"/>
    <x v="436"/>
    <n v="134.5"/>
    <x v="24"/>
    <x v="26"/>
    <x v="2"/>
    <x v="1"/>
    <x v="1"/>
    <x v="0"/>
    <x v="22"/>
    <x v="0"/>
    <x v="3"/>
    <x v="2"/>
  </r>
  <r>
    <x v="574"/>
    <x v="2"/>
    <x v="12"/>
    <x v="437"/>
    <n v="844"/>
    <x v="24"/>
    <x v="17"/>
    <x v="2"/>
    <x v="1"/>
    <x v="1"/>
    <x v="0"/>
    <x v="3"/>
    <x v="7"/>
    <x v="3"/>
    <x v="2"/>
  </r>
  <r>
    <x v="575"/>
    <x v="0"/>
    <x v="12"/>
    <x v="438"/>
    <n v="84.4"/>
    <x v="24"/>
    <x v="29"/>
    <x v="1"/>
    <x v="4"/>
    <x v="0"/>
    <x v="0"/>
    <x v="3"/>
    <x v="2"/>
    <x v="3"/>
    <x v="1"/>
  </r>
  <r>
    <x v="576"/>
    <x v="10"/>
    <x v="0"/>
    <x v="439"/>
    <n v="26.6"/>
    <x v="24"/>
    <x v="22"/>
    <x v="1"/>
    <x v="0"/>
    <x v="4"/>
    <x v="0"/>
    <x v="3"/>
    <x v="1"/>
    <x v="3"/>
    <x v="1"/>
  </r>
  <r>
    <x v="577"/>
    <x v="12"/>
    <x v="12"/>
    <x v="440"/>
    <n v="204.8"/>
    <x v="24"/>
    <x v="19"/>
    <x v="2"/>
    <x v="3"/>
    <x v="0"/>
    <x v="0"/>
    <x v="47"/>
    <x v="3"/>
    <x v="3"/>
    <x v="2"/>
  </r>
  <r>
    <x v="578"/>
    <x v="0"/>
    <x v="9"/>
    <x v="441"/>
    <n v="53"/>
    <x v="24"/>
    <x v="28"/>
    <x v="2"/>
    <x v="0"/>
    <x v="0"/>
    <x v="0"/>
    <x v="8"/>
    <x v="5"/>
    <x v="3"/>
    <x v="2"/>
  </r>
  <r>
    <x v="579"/>
    <x v="6"/>
    <x v="2"/>
    <x v="171"/>
    <n v="130.19999999999999"/>
    <x v="24"/>
    <x v="29"/>
    <x v="2"/>
    <x v="4"/>
    <x v="0"/>
    <x v="0"/>
    <x v="8"/>
    <x v="2"/>
    <x v="3"/>
    <x v="2"/>
  </r>
  <r>
    <x v="580"/>
    <x v="12"/>
    <x v="0"/>
    <x v="442"/>
    <n v="80"/>
    <x v="24"/>
    <x v="17"/>
    <x v="2"/>
    <x v="0"/>
    <x v="2"/>
    <x v="0"/>
    <x v="8"/>
    <x v="7"/>
    <x v="3"/>
    <x v="2"/>
  </r>
  <r>
    <x v="581"/>
    <x v="10"/>
    <x v="12"/>
    <x v="337"/>
    <n v="258.8"/>
    <x v="24"/>
    <x v="22"/>
    <x v="2"/>
    <x v="1"/>
    <x v="4"/>
    <x v="0"/>
    <x v="8"/>
    <x v="1"/>
    <x v="3"/>
    <x v="2"/>
  </r>
  <r>
    <x v="582"/>
    <x v="8"/>
    <x v="5"/>
    <x v="133"/>
    <n v="289.3"/>
    <x v="25"/>
    <x v="19"/>
    <x v="2"/>
    <x v="4"/>
    <x v="1"/>
    <x v="0"/>
    <x v="26"/>
    <x v="7"/>
    <x v="4"/>
    <x v="2"/>
  </r>
  <r>
    <x v="583"/>
    <x v="10"/>
    <x v="0"/>
    <x v="365"/>
    <n v="28.5"/>
    <x v="25"/>
    <x v="19"/>
    <x v="1"/>
    <x v="0"/>
    <x v="1"/>
    <x v="0"/>
    <x v="9"/>
    <x v="7"/>
    <x v="4"/>
    <x v="1"/>
  </r>
  <r>
    <x v="584"/>
    <x v="17"/>
    <x v="0"/>
    <x v="134"/>
    <n v="47.8"/>
    <x v="25"/>
    <x v="29"/>
    <x v="2"/>
    <x v="0"/>
    <x v="1"/>
    <x v="0"/>
    <x v="9"/>
    <x v="1"/>
    <x v="4"/>
    <x v="2"/>
  </r>
  <r>
    <x v="585"/>
    <x v="10"/>
    <x v="2"/>
    <x v="443"/>
    <n v="128.39999999999998"/>
    <x v="25"/>
    <x v="28"/>
    <x v="2"/>
    <x v="4"/>
    <x v="1"/>
    <x v="0"/>
    <x v="11"/>
    <x v="2"/>
    <x v="4"/>
    <x v="2"/>
  </r>
  <r>
    <x v="586"/>
    <x v="6"/>
    <x v="9"/>
    <x v="84"/>
    <n v="234"/>
    <x v="25"/>
    <x v="27"/>
    <x v="2"/>
    <x v="1"/>
    <x v="2"/>
    <x v="0"/>
    <x v="11"/>
    <x v="0"/>
    <x v="4"/>
    <x v="2"/>
  </r>
  <r>
    <x v="587"/>
    <x v="1"/>
    <x v="7"/>
    <x v="444"/>
    <n v="641"/>
    <x v="25"/>
    <x v="22"/>
    <x v="1"/>
    <x v="1"/>
    <x v="0"/>
    <x v="0"/>
    <x v="11"/>
    <x v="3"/>
    <x v="4"/>
    <x v="1"/>
  </r>
  <r>
    <x v="588"/>
    <x v="2"/>
    <x v="0"/>
    <x v="66"/>
    <n v="89.1"/>
    <x v="25"/>
    <x v="22"/>
    <x v="2"/>
    <x v="0"/>
    <x v="1"/>
    <x v="0"/>
    <x v="20"/>
    <x v="3"/>
    <x v="4"/>
    <x v="2"/>
  </r>
  <r>
    <x v="589"/>
    <x v="2"/>
    <x v="2"/>
    <x v="445"/>
    <n v="249.29999999999998"/>
    <x v="25"/>
    <x v="22"/>
    <x v="2"/>
    <x v="2"/>
    <x v="1"/>
    <x v="0"/>
    <x v="13"/>
    <x v="3"/>
    <x v="4"/>
    <x v="2"/>
  </r>
  <r>
    <x v="590"/>
    <x v="8"/>
    <x v="2"/>
    <x v="446"/>
    <n v="122.69999999999999"/>
    <x v="25"/>
    <x v="22"/>
    <x v="1"/>
    <x v="0"/>
    <x v="0"/>
    <x v="0"/>
    <x v="1"/>
    <x v="3"/>
    <x v="4"/>
    <x v="1"/>
  </r>
  <r>
    <x v="591"/>
    <x v="2"/>
    <x v="1"/>
    <x v="447"/>
    <n v="251.4"/>
    <x v="25"/>
    <x v="22"/>
    <x v="2"/>
    <x v="3"/>
    <x v="0"/>
    <x v="0"/>
    <x v="2"/>
    <x v="3"/>
    <x v="4"/>
    <x v="2"/>
  </r>
  <r>
    <x v="592"/>
    <x v="3"/>
    <x v="1"/>
    <x v="15"/>
    <n v="61.8"/>
    <x v="25"/>
    <x v="19"/>
    <x v="2"/>
    <x v="2"/>
    <x v="2"/>
    <x v="0"/>
    <x v="22"/>
    <x v="7"/>
    <x v="4"/>
    <x v="2"/>
  </r>
  <r>
    <x v="593"/>
    <x v="8"/>
    <x v="1"/>
    <x v="383"/>
    <n v="36.6"/>
    <x v="25"/>
    <x v="22"/>
    <x v="2"/>
    <x v="1"/>
    <x v="0"/>
    <x v="0"/>
    <x v="3"/>
    <x v="3"/>
    <x v="4"/>
    <x v="2"/>
  </r>
  <r>
    <x v="594"/>
    <x v="4"/>
    <x v="1"/>
    <x v="448"/>
    <n v="113"/>
    <x v="25"/>
    <x v="26"/>
    <x v="1"/>
    <x v="2"/>
    <x v="2"/>
    <x v="0"/>
    <x v="3"/>
    <x v="5"/>
    <x v="4"/>
    <x v="1"/>
  </r>
  <r>
    <x v="595"/>
    <x v="10"/>
    <x v="3"/>
    <x v="32"/>
    <n v="209.29999999999998"/>
    <x v="25"/>
    <x v="29"/>
    <x v="1"/>
    <x v="4"/>
    <x v="2"/>
    <x v="0"/>
    <x v="3"/>
    <x v="1"/>
    <x v="4"/>
    <x v="1"/>
  </r>
  <r>
    <x v="596"/>
    <x v="5"/>
    <x v="1"/>
    <x v="88"/>
    <n v="100.8"/>
    <x v="25"/>
    <x v="22"/>
    <x v="2"/>
    <x v="2"/>
    <x v="0"/>
    <x v="0"/>
    <x v="3"/>
    <x v="3"/>
    <x v="4"/>
    <x v="2"/>
  </r>
  <r>
    <x v="597"/>
    <x v="2"/>
    <x v="0"/>
    <x v="449"/>
    <n v="85.8"/>
    <x v="25"/>
    <x v="19"/>
    <x v="2"/>
    <x v="2"/>
    <x v="2"/>
    <x v="0"/>
    <x v="3"/>
    <x v="7"/>
    <x v="4"/>
    <x v="2"/>
  </r>
  <r>
    <x v="598"/>
    <x v="4"/>
    <x v="27"/>
    <x v="450"/>
    <n v="1065.5999999999999"/>
    <x v="25"/>
    <x v="29"/>
    <x v="1"/>
    <x v="1"/>
    <x v="0"/>
    <x v="0"/>
    <x v="3"/>
    <x v="1"/>
    <x v="4"/>
    <x v="1"/>
  </r>
  <r>
    <x v="599"/>
    <x v="6"/>
    <x v="12"/>
    <x v="451"/>
    <n v="281.2"/>
    <x v="25"/>
    <x v="22"/>
    <x v="2"/>
    <x v="0"/>
    <x v="1"/>
    <x v="0"/>
    <x v="3"/>
    <x v="3"/>
    <x v="4"/>
    <x v="2"/>
  </r>
  <r>
    <x v="600"/>
    <x v="8"/>
    <x v="12"/>
    <x v="452"/>
    <n v="124"/>
    <x v="25"/>
    <x v="28"/>
    <x v="1"/>
    <x v="0"/>
    <x v="2"/>
    <x v="0"/>
    <x v="3"/>
    <x v="2"/>
    <x v="4"/>
    <x v="1"/>
  </r>
  <r>
    <x v="601"/>
    <x v="7"/>
    <x v="13"/>
    <x v="453"/>
    <n v="489.59999999999997"/>
    <x v="25"/>
    <x v="22"/>
    <x v="2"/>
    <x v="1"/>
    <x v="1"/>
    <x v="0"/>
    <x v="37"/>
    <x v="3"/>
    <x v="4"/>
    <x v="2"/>
  </r>
  <r>
    <x v="602"/>
    <x v="1"/>
    <x v="30"/>
    <x v="207"/>
    <n v="1457.5"/>
    <x v="25"/>
    <x v="22"/>
    <x v="2"/>
    <x v="0"/>
    <x v="0"/>
    <x v="0"/>
    <x v="16"/>
    <x v="3"/>
    <x v="4"/>
    <x v="2"/>
  </r>
  <r>
    <x v="603"/>
    <x v="1"/>
    <x v="12"/>
    <x v="334"/>
    <n v="140.4"/>
    <x v="25"/>
    <x v="29"/>
    <x v="1"/>
    <x v="0"/>
    <x v="2"/>
    <x v="0"/>
    <x v="8"/>
    <x v="1"/>
    <x v="4"/>
    <x v="1"/>
  </r>
  <r>
    <x v="604"/>
    <x v="2"/>
    <x v="0"/>
    <x v="454"/>
    <n v="80.2"/>
    <x v="25"/>
    <x v="22"/>
    <x v="1"/>
    <x v="3"/>
    <x v="2"/>
    <x v="0"/>
    <x v="8"/>
    <x v="3"/>
    <x v="4"/>
    <x v="1"/>
  </r>
  <r>
    <x v="605"/>
    <x v="14"/>
    <x v="2"/>
    <x v="406"/>
    <n v="117.60000000000001"/>
    <x v="25"/>
    <x v="29"/>
    <x v="2"/>
    <x v="1"/>
    <x v="0"/>
    <x v="0"/>
    <x v="9"/>
    <x v="1"/>
    <x v="4"/>
    <x v="2"/>
  </r>
  <r>
    <x v="606"/>
    <x v="0"/>
    <x v="1"/>
    <x v="455"/>
    <n v="30.8"/>
    <x v="25"/>
    <x v="19"/>
    <x v="2"/>
    <x v="3"/>
    <x v="0"/>
    <x v="0"/>
    <x v="48"/>
    <x v="7"/>
    <x v="4"/>
    <x v="2"/>
  </r>
  <r>
    <x v="607"/>
    <x v="3"/>
    <x v="2"/>
    <x v="456"/>
    <n v="196.20000000000002"/>
    <x v="25"/>
    <x v="28"/>
    <x v="1"/>
    <x v="3"/>
    <x v="0"/>
    <x v="0"/>
    <x v="18"/>
    <x v="2"/>
    <x v="4"/>
    <x v="1"/>
  </r>
  <r>
    <x v="608"/>
    <x v="1"/>
    <x v="8"/>
    <x v="56"/>
    <n v="505.6"/>
    <x v="25"/>
    <x v="29"/>
    <x v="2"/>
    <x v="1"/>
    <x v="0"/>
    <x v="0"/>
    <x v="19"/>
    <x v="1"/>
    <x v="4"/>
    <x v="2"/>
  </r>
  <r>
    <x v="609"/>
    <x v="1"/>
    <x v="13"/>
    <x v="8"/>
    <n v="214.20000000000002"/>
    <x v="25"/>
    <x v="26"/>
    <x v="2"/>
    <x v="4"/>
    <x v="1"/>
    <x v="0"/>
    <x v="19"/>
    <x v="5"/>
    <x v="4"/>
    <x v="2"/>
  </r>
  <r>
    <x v="610"/>
    <x v="0"/>
    <x v="28"/>
    <x v="457"/>
    <n v="524"/>
    <x v="25"/>
    <x v="22"/>
    <x v="2"/>
    <x v="3"/>
    <x v="0"/>
    <x v="0"/>
    <x v="21"/>
    <x v="3"/>
    <x v="4"/>
    <x v="2"/>
  </r>
  <r>
    <x v="611"/>
    <x v="7"/>
    <x v="1"/>
    <x v="452"/>
    <n v="62"/>
    <x v="25"/>
    <x v="22"/>
    <x v="2"/>
    <x v="0"/>
    <x v="2"/>
    <x v="0"/>
    <x v="1"/>
    <x v="3"/>
    <x v="4"/>
    <x v="2"/>
  </r>
  <r>
    <x v="612"/>
    <x v="8"/>
    <x v="12"/>
    <x v="3"/>
    <n v="150.80000000000001"/>
    <x v="25"/>
    <x v="22"/>
    <x v="2"/>
    <x v="1"/>
    <x v="0"/>
    <x v="0"/>
    <x v="22"/>
    <x v="3"/>
    <x v="4"/>
    <x v="2"/>
  </r>
  <r>
    <x v="613"/>
    <x v="10"/>
    <x v="33"/>
    <x v="458"/>
    <n v="1482.4"/>
    <x v="25"/>
    <x v="29"/>
    <x v="2"/>
    <x v="4"/>
    <x v="1"/>
    <x v="0"/>
    <x v="3"/>
    <x v="1"/>
    <x v="4"/>
    <x v="2"/>
  </r>
  <r>
    <x v="614"/>
    <x v="9"/>
    <x v="12"/>
    <x v="38"/>
    <n v="106"/>
    <x v="25"/>
    <x v="29"/>
    <x v="1"/>
    <x v="0"/>
    <x v="4"/>
    <x v="0"/>
    <x v="3"/>
    <x v="1"/>
    <x v="4"/>
    <x v="1"/>
  </r>
  <r>
    <x v="615"/>
    <x v="0"/>
    <x v="1"/>
    <x v="292"/>
    <n v="69.2"/>
    <x v="25"/>
    <x v="22"/>
    <x v="1"/>
    <x v="4"/>
    <x v="1"/>
    <x v="0"/>
    <x v="3"/>
    <x v="3"/>
    <x v="4"/>
    <x v="1"/>
  </r>
  <r>
    <x v="616"/>
    <x v="8"/>
    <x v="1"/>
    <x v="296"/>
    <n v="116.4"/>
    <x v="25"/>
    <x v="22"/>
    <x v="1"/>
    <x v="2"/>
    <x v="2"/>
    <x v="0"/>
    <x v="3"/>
    <x v="3"/>
    <x v="4"/>
    <x v="1"/>
  </r>
  <r>
    <x v="617"/>
    <x v="7"/>
    <x v="0"/>
    <x v="224"/>
    <n v="30.2"/>
    <x v="26"/>
    <x v="29"/>
    <x v="2"/>
    <x v="2"/>
    <x v="1"/>
    <x v="0"/>
    <x v="3"/>
    <x v="3"/>
    <x v="4"/>
    <x v="2"/>
  </r>
  <r>
    <x v="618"/>
    <x v="1"/>
    <x v="7"/>
    <x v="459"/>
    <n v="532"/>
    <x v="26"/>
    <x v="29"/>
    <x v="1"/>
    <x v="0"/>
    <x v="2"/>
    <x v="0"/>
    <x v="5"/>
    <x v="3"/>
    <x v="4"/>
    <x v="1"/>
  </r>
  <r>
    <x v="619"/>
    <x v="12"/>
    <x v="13"/>
    <x v="18"/>
    <n v="306.60000000000002"/>
    <x v="26"/>
    <x v="22"/>
    <x v="1"/>
    <x v="1"/>
    <x v="2"/>
    <x v="0"/>
    <x v="5"/>
    <x v="7"/>
    <x v="4"/>
    <x v="1"/>
  </r>
  <r>
    <x v="620"/>
    <x v="1"/>
    <x v="0"/>
    <x v="460"/>
    <n v="105.4"/>
    <x v="26"/>
    <x v="27"/>
    <x v="2"/>
    <x v="1"/>
    <x v="2"/>
    <x v="0"/>
    <x v="23"/>
    <x v="5"/>
    <x v="4"/>
    <x v="2"/>
  </r>
  <r>
    <x v="621"/>
    <x v="7"/>
    <x v="0"/>
    <x v="461"/>
    <n v="57.7"/>
    <x v="26"/>
    <x v="22"/>
    <x v="1"/>
    <x v="0"/>
    <x v="4"/>
    <x v="0"/>
    <x v="8"/>
    <x v="7"/>
    <x v="4"/>
    <x v="1"/>
  </r>
  <r>
    <x v="622"/>
    <x v="15"/>
    <x v="1"/>
    <x v="462"/>
    <n v="144.80000000000001"/>
    <x v="26"/>
    <x v="30"/>
    <x v="2"/>
    <x v="0"/>
    <x v="0"/>
    <x v="0"/>
    <x v="17"/>
    <x v="0"/>
    <x v="4"/>
    <x v="2"/>
  </r>
  <r>
    <x v="623"/>
    <x v="6"/>
    <x v="1"/>
    <x v="366"/>
    <n v="125"/>
    <x v="26"/>
    <x v="29"/>
    <x v="0"/>
    <x v="0"/>
    <x v="2"/>
    <x v="0"/>
    <x v="11"/>
    <x v="3"/>
    <x v="4"/>
    <x v="0"/>
  </r>
  <r>
    <x v="624"/>
    <x v="0"/>
    <x v="32"/>
    <x v="463"/>
    <n v="255.2"/>
    <x v="26"/>
    <x v="28"/>
    <x v="2"/>
    <x v="3"/>
    <x v="2"/>
    <x v="0"/>
    <x v="18"/>
    <x v="1"/>
    <x v="4"/>
    <x v="2"/>
  </r>
  <r>
    <x v="625"/>
    <x v="10"/>
    <x v="7"/>
    <x v="180"/>
    <n v="396"/>
    <x v="26"/>
    <x v="28"/>
    <x v="2"/>
    <x v="2"/>
    <x v="2"/>
    <x v="0"/>
    <x v="18"/>
    <x v="1"/>
    <x v="4"/>
    <x v="2"/>
  </r>
  <r>
    <x v="626"/>
    <x v="8"/>
    <x v="1"/>
    <x v="464"/>
    <n v="80.2"/>
    <x v="26"/>
    <x v="29"/>
    <x v="2"/>
    <x v="2"/>
    <x v="0"/>
    <x v="0"/>
    <x v="18"/>
    <x v="3"/>
    <x v="4"/>
    <x v="2"/>
  </r>
  <r>
    <x v="627"/>
    <x v="8"/>
    <x v="2"/>
    <x v="465"/>
    <n v="55.800000000000004"/>
    <x v="26"/>
    <x v="29"/>
    <x v="2"/>
    <x v="2"/>
    <x v="0"/>
    <x v="0"/>
    <x v="21"/>
    <x v="3"/>
    <x v="4"/>
    <x v="2"/>
  </r>
  <r>
    <x v="628"/>
    <x v="4"/>
    <x v="0"/>
    <x v="466"/>
    <n v="58.8"/>
    <x v="26"/>
    <x v="28"/>
    <x v="2"/>
    <x v="0"/>
    <x v="1"/>
    <x v="0"/>
    <x v="21"/>
    <x v="1"/>
    <x v="4"/>
    <x v="2"/>
  </r>
  <r>
    <x v="629"/>
    <x v="8"/>
    <x v="1"/>
    <x v="237"/>
    <n v="44.2"/>
    <x v="26"/>
    <x v="26"/>
    <x v="1"/>
    <x v="1"/>
    <x v="2"/>
    <x v="0"/>
    <x v="21"/>
    <x v="2"/>
    <x v="4"/>
    <x v="1"/>
  </r>
  <r>
    <x v="630"/>
    <x v="2"/>
    <x v="0"/>
    <x v="467"/>
    <n v="114.9"/>
    <x v="27"/>
    <x v="28"/>
    <x v="2"/>
    <x v="1"/>
    <x v="1"/>
    <x v="0"/>
    <x v="22"/>
    <x v="3"/>
    <x v="4"/>
    <x v="2"/>
  </r>
  <r>
    <x v="631"/>
    <x v="9"/>
    <x v="9"/>
    <x v="124"/>
    <n v="379"/>
    <x v="27"/>
    <x v="28"/>
    <x v="1"/>
    <x v="0"/>
    <x v="2"/>
    <x v="0"/>
    <x v="3"/>
    <x v="3"/>
    <x v="4"/>
    <x v="1"/>
  </r>
  <r>
    <x v="632"/>
    <x v="14"/>
    <x v="9"/>
    <x v="468"/>
    <n v="103"/>
    <x v="27"/>
    <x v="28"/>
    <x v="1"/>
    <x v="2"/>
    <x v="2"/>
    <x v="0"/>
    <x v="3"/>
    <x v="3"/>
    <x v="4"/>
    <x v="1"/>
  </r>
  <r>
    <x v="633"/>
    <x v="17"/>
    <x v="2"/>
    <x v="469"/>
    <n v="203.70000000000002"/>
    <x v="27"/>
    <x v="28"/>
    <x v="2"/>
    <x v="1"/>
    <x v="1"/>
    <x v="0"/>
    <x v="3"/>
    <x v="3"/>
    <x v="4"/>
    <x v="2"/>
  </r>
  <r>
    <x v="634"/>
    <x v="0"/>
    <x v="9"/>
    <x v="49"/>
    <n v="135"/>
    <x v="27"/>
    <x v="32"/>
    <x v="2"/>
    <x v="0"/>
    <x v="2"/>
    <x v="0"/>
    <x v="3"/>
    <x v="6"/>
    <x v="4"/>
    <x v="2"/>
  </r>
  <r>
    <x v="635"/>
    <x v="13"/>
    <x v="0"/>
    <x v="79"/>
    <n v="50.6"/>
    <x v="27"/>
    <x v="29"/>
    <x v="1"/>
    <x v="0"/>
    <x v="1"/>
    <x v="0"/>
    <x v="3"/>
    <x v="7"/>
    <x v="4"/>
    <x v="1"/>
  </r>
  <r>
    <x v="636"/>
    <x v="4"/>
    <x v="9"/>
    <x v="237"/>
    <n v="110.5"/>
    <x v="27"/>
    <x v="33"/>
    <x v="1"/>
    <x v="0"/>
    <x v="0"/>
    <x v="0"/>
    <x v="3"/>
    <x v="0"/>
    <x v="4"/>
    <x v="1"/>
  </r>
  <r>
    <x v="637"/>
    <x v="8"/>
    <x v="2"/>
    <x v="429"/>
    <n v="128.69999999999999"/>
    <x v="27"/>
    <x v="26"/>
    <x v="2"/>
    <x v="0"/>
    <x v="0"/>
    <x v="0"/>
    <x v="3"/>
    <x v="1"/>
    <x v="4"/>
    <x v="2"/>
  </r>
  <r>
    <x v="638"/>
    <x v="1"/>
    <x v="5"/>
    <x v="470"/>
    <n v="686.4"/>
    <x v="27"/>
    <x v="26"/>
    <x v="2"/>
    <x v="2"/>
    <x v="0"/>
    <x v="0"/>
    <x v="3"/>
    <x v="1"/>
    <x v="4"/>
    <x v="2"/>
  </r>
  <r>
    <x v="639"/>
    <x v="13"/>
    <x v="11"/>
    <x v="128"/>
    <n v="327.59999999999997"/>
    <x v="27"/>
    <x v="26"/>
    <x v="2"/>
    <x v="0"/>
    <x v="2"/>
    <x v="0"/>
    <x v="3"/>
    <x v="1"/>
    <x v="4"/>
    <x v="2"/>
  </r>
  <r>
    <x v="640"/>
    <x v="0"/>
    <x v="1"/>
    <x v="243"/>
    <n v="45"/>
    <x v="27"/>
    <x v="27"/>
    <x v="1"/>
    <x v="0"/>
    <x v="0"/>
    <x v="0"/>
    <x v="3"/>
    <x v="2"/>
    <x v="4"/>
    <x v="1"/>
  </r>
  <r>
    <x v="641"/>
    <x v="6"/>
    <x v="12"/>
    <x v="471"/>
    <n v="283.2"/>
    <x v="27"/>
    <x v="26"/>
    <x v="2"/>
    <x v="4"/>
    <x v="0"/>
    <x v="0"/>
    <x v="3"/>
    <x v="1"/>
    <x v="4"/>
    <x v="2"/>
  </r>
  <r>
    <x v="642"/>
    <x v="6"/>
    <x v="9"/>
    <x v="472"/>
    <n v="283"/>
    <x v="27"/>
    <x v="26"/>
    <x v="1"/>
    <x v="0"/>
    <x v="1"/>
    <x v="0"/>
    <x v="4"/>
    <x v="1"/>
    <x v="4"/>
    <x v="1"/>
  </r>
  <r>
    <x v="643"/>
    <x v="6"/>
    <x v="1"/>
    <x v="367"/>
    <n v="95.8"/>
    <x v="27"/>
    <x v="28"/>
    <x v="2"/>
    <x v="0"/>
    <x v="0"/>
    <x v="0"/>
    <x v="6"/>
    <x v="3"/>
    <x v="4"/>
    <x v="2"/>
  </r>
  <r>
    <x v="644"/>
    <x v="6"/>
    <x v="8"/>
    <x v="473"/>
    <n v="627.20000000000005"/>
    <x v="27"/>
    <x v="26"/>
    <x v="2"/>
    <x v="1"/>
    <x v="0"/>
    <x v="0"/>
    <x v="6"/>
    <x v="1"/>
    <x v="4"/>
    <x v="2"/>
  </r>
  <r>
    <x v="645"/>
    <x v="2"/>
    <x v="21"/>
    <x v="474"/>
    <n v="1709.3999999999999"/>
    <x v="27"/>
    <x v="33"/>
    <x v="2"/>
    <x v="0"/>
    <x v="2"/>
    <x v="0"/>
    <x v="6"/>
    <x v="0"/>
    <x v="4"/>
    <x v="2"/>
  </r>
  <r>
    <x v="646"/>
    <x v="2"/>
    <x v="1"/>
    <x v="371"/>
    <n v="167.4"/>
    <x v="28"/>
    <x v="28"/>
    <x v="0"/>
    <x v="1"/>
    <x v="2"/>
    <x v="0"/>
    <x v="7"/>
    <x v="7"/>
    <x v="4"/>
    <x v="0"/>
  </r>
  <r>
    <x v="647"/>
    <x v="3"/>
    <x v="12"/>
    <x v="475"/>
    <n v="391.6"/>
    <x v="28"/>
    <x v="33"/>
    <x v="2"/>
    <x v="3"/>
    <x v="2"/>
    <x v="0"/>
    <x v="7"/>
    <x v="5"/>
    <x v="4"/>
    <x v="2"/>
  </r>
  <r>
    <x v="648"/>
    <x v="14"/>
    <x v="0"/>
    <x v="476"/>
    <n v="15"/>
    <x v="28"/>
    <x v="34"/>
    <x v="2"/>
    <x v="3"/>
    <x v="0"/>
    <x v="0"/>
    <x v="8"/>
    <x v="0"/>
    <x v="4"/>
    <x v="2"/>
  </r>
  <r>
    <x v="649"/>
    <x v="12"/>
    <x v="2"/>
    <x v="477"/>
    <n v="283.79999999999995"/>
    <x v="28"/>
    <x v="26"/>
    <x v="1"/>
    <x v="2"/>
    <x v="1"/>
    <x v="0"/>
    <x v="8"/>
    <x v="3"/>
    <x v="4"/>
    <x v="1"/>
  </r>
  <r>
    <x v="650"/>
    <x v="0"/>
    <x v="13"/>
    <x v="478"/>
    <n v="118.19999999999999"/>
    <x v="28"/>
    <x v="35"/>
    <x v="2"/>
    <x v="0"/>
    <x v="2"/>
    <x v="0"/>
    <x v="8"/>
    <x v="11"/>
    <x v="4"/>
    <x v="2"/>
  </r>
  <r>
    <x v="651"/>
    <x v="7"/>
    <x v="0"/>
    <x v="21"/>
    <n v="46.7"/>
    <x v="28"/>
    <x v="30"/>
    <x v="2"/>
    <x v="2"/>
    <x v="0"/>
    <x v="0"/>
    <x v="17"/>
    <x v="2"/>
    <x v="4"/>
    <x v="2"/>
  </r>
  <r>
    <x v="652"/>
    <x v="1"/>
    <x v="12"/>
    <x v="280"/>
    <n v="172"/>
    <x v="28"/>
    <x v="26"/>
    <x v="1"/>
    <x v="2"/>
    <x v="2"/>
    <x v="0"/>
    <x v="17"/>
    <x v="3"/>
    <x v="4"/>
    <x v="1"/>
  </r>
  <r>
    <x v="653"/>
    <x v="6"/>
    <x v="2"/>
    <x v="197"/>
    <n v="204.60000000000002"/>
    <x v="28"/>
    <x v="32"/>
    <x v="2"/>
    <x v="0"/>
    <x v="0"/>
    <x v="0"/>
    <x v="9"/>
    <x v="4"/>
    <x v="4"/>
    <x v="2"/>
  </r>
  <r>
    <x v="654"/>
    <x v="10"/>
    <x v="7"/>
    <x v="51"/>
    <n v="243"/>
    <x v="28"/>
    <x v="26"/>
    <x v="1"/>
    <x v="0"/>
    <x v="2"/>
    <x v="0"/>
    <x v="10"/>
    <x v="3"/>
    <x v="4"/>
    <x v="1"/>
  </r>
  <r>
    <x v="655"/>
    <x v="7"/>
    <x v="1"/>
    <x v="479"/>
    <n v="173.6"/>
    <x v="28"/>
    <x v="33"/>
    <x v="2"/>
    <x v="4"/>
    <x v="2"/>
    <x v="0"/>
    <x v="11"/>
    <x v="5"/>
    <x v="4"/>
    <x v="2"/>
  </r>
  <r>
    <x v="656"/>
    <x v="0"/>
    <x v="1"/>
    <x v="35"/>
    <n v="31.6"/>
    <x v="28"/>
    <x v="27"/>
    <x v="1"/>
    <x v="1"/>
    <x v="0"/>
    <x v="0"/>
    <x v="11"/>
    <x v="1"/>
    <x v="4"/>
    <x v="1"/>
  </r>
  <r>
    <x v="657"/>
    <x v="2"/>
    <x v="12"/>
    <x v="480"/>
    <n v="246.4"/>
    <x v="28"/>
    <x v="26"/>
    <x v="1"/>
    <x v="2"/>
    <x v="0"/>
    <x v="0"/>
    <x v="11"/>
    <x v="3"/>
    <x v="4"/>
    <x v="1"/>
  </r>
  <r>
    <x v="658"/>
    <x v="6"/>
    <x v="2"/>
    <x v="242"/>
    <n v="146.10000000000002"/>
    <x v="28"/>
    <x v="32"/>
    <x v="2"/>
    <x v="1"/>
    <x v="2"/>
    <x v="0"/>
    <x v="45"/>
    <x v="4"/>
    <x v="4"/>
    <x v="2"/>
  </r>
  <r>
    <x v="659"/>
    <x v="8"/>
    <x v="12"/>
    <x v="51"/>
    <n v="97.2"/>
    <x v="28"/>
    <x v="27"/>
    <x v="2"/>
    <x v="1"/>
    <x v="2"/>
    <x v="0"/>
    <x v="21"/>
    <x v="1"/>
    <x v="4"/>
    <x v="2"/>
  </r>
  <r>
    <x v="660"/>
    <x v="2"/>
    <x v="1"/>
    <x v="481"/>
    <n v="261.39999999999998"/>
    <x v="28"/>
    <x v="26"/>
    <x v="2"/>
    <x v="2"/>
    <x v="0"/>
    <x v="0"/>
    <x v="44"/>
    <x v="3"/>
    <x v="4"/>
    <x v="2"/>
  </r>
  <r>
    <x v="661"/>
    <x v="10"/>
    <x v="0"/>
    <x v="269"/>
    <n v="26"/>
    <x v="28"/>
    <x v="27"/>
    <x v="1"/>
    <x v="0"/>
    <x v="0"/>
    <x v="0"/>
    <x v="3"/>
    <x v="1"/>
    <x v="4"/>
    <x v="1"/>
  </r>
  <r>
    <x v="662"/>
    <x v="2"/>
    <x v="9"/>
    <x v="482"/>
    <n v="472"/>
    <x v="28"/>
    <x v="26"/>
    <x v="2"/>
    <x v="0"/>
    <x v="0"/>
    <x v="0"/>
    <x v="3"/>
    <x v="3"/>
    <x v="4"/>
    <x v="2"/>
  </r>
  <r>
    <x v="663"/>
    <x v="0"/>
    <x v="13"/>
    <x v="483"/>
    <n v="142.19999999999999"/>
    <x v="28"/>
    <x v="27"/>
    <x v="1"/>
    <x v="2"/>
    <x v="2"/>
    <x v="0"/>
    <x v="3"/>
    <x v="1"/>
    <x v="4"/>
    <x v="1"/>
  </r>
  <r>
    <x v="664"/>
    <x v="9"/>
    <x v="4"/>
    <x v="484"/>
    <n v="448.79999999999995"/>
    <x v="28"/>
    <x v="27"/>
    <x v="1"/>
    <x v="2"/>
    <x v="0"/>
    <x v="0"/>
    <x v="3"/>
    <x v="1"/>
    <x v="4"/>
    <x v="1"/>
  </r>
  <r>
    <x v="665"/>
    <x v="1"/>
    <x v="34"/>
    <x v="204"/>
    <n v="1987.2"/>
    <x v="28"/>
    <x v="28"/>
    <x v="2"/>
    <x v="3"/>
    <x v="1"/>
    <x v="0"/>
    <x v="3"/>
    <x v="7"/>
    <x v="4"/>
    <x v="2"/>
  </r>
  <r>
    <x v="666"/>
    <x v="2"/>
    <x v="11"/>
    <x v="140"/>
    <n v="513.9"/>
    <x v="28"/>
    <x v="27"/>
    <x v="1"/>
    <x v="0"/>
    <x v="2"/>
    <x v="0"/>
    <x v="3"/>
    <x v="1"/>
    <x v="4"/>
    <x v="1"/>
  </r>
  <r>
    <x v="667"/>
    <x v="12"/>
    <x v="0"/>
    <x v="6"/>
    <n v="55.3"/>
    <x v="28"/>
    <x v="26"/>
    <x v="2"/>
    <x v="2"/>
    <x v="2"/>
    <x v="0"/>
    <x v="3"/>
    <x v="3"/>
    <x v="4"/>
    <x v="2"/>
  </r>
  <r>
    <x v="668"/>
    <x v="15"/>
    <x v="3"/>
    <x v="273"/>
    <n v="167.29999999999998"/>
    <x v="28"/>
    <x v="26"/>
    <x v="2"/>
    <x v="4"/>
    <x v="1"/>
    <x v="0"/>
    <x v="3"/>
    <x v="3"/>
    <x v="4"/>
    <x v="2"/>
  </r>
  <r>
    <x v="669"/>
    <x v="0"/>
    <x v="0"/>
    <x v="268"/>
    <n v="34.1"/>
    <x v="28"/>
    <x v="36"/>
    <x v="2"/>
    <x v="2"/>
    <x v="0"/>
    <x v="0"/>
    <x v="3"/>
    <x v="6"/>
    <x v="4"/>
    <x v="2"/>
  </r>
  <r>
    <x v="670"/>
    <x v="12"/>
    <x v="12"/>
    <x v="153"/>
    <n v="154"/>
    <x v="28"/>
    <x v="35"/>
    <x v="2"/>
    <x v="0"/>
    <x v="0"/>
    <x v="0"/>
    <x v="3"/>
    <x v="11"/>
    <x v="4"/>
    <x v="2"/>
  </r>
  <r>
    <x v="671"/>
    <x v="7"/>
    <x v="1"/>
    <x v="485"/>
    <n v="210"/>
    <x v="28"/>
    <x v="32"/>
    <x v="2"/>
    <x v="0"/>
    <x v="2"/>
    <x v="0"/>
    <x v="3"/>
    <x v="4"/>
    <x v="4"/>
    <x v="2"/>
  </r>
  <r>
    <x v="672"/>
    <x v="8"/>
    <x v="9"/>
    <x v="291"/>
    <n v="226"/>
    <x v="28"/>
    <x v="27"/>
    <x v="2"/>
    <x v="0"/>
    <x v="2"/>
    <x v="0"/>
    <x v="3"/>
    <x v="1"/>
    <x v="4"/>
    <x v="2"/>
  </r>
  <r>
    <x v="673"/>
    <x v="17"/>
    <x v="2"/>
    <x v="486"/>
    <n v="74.400000000000006"/>
    <x v="28"/>
    <x v="28"/>
    <x v="0"/>
    <x v="0"/>
    <x v="1"/>
    <x v="0"/>
    <x v="3"/>
    <x v="7"/>
    <x v="4"/>
    <x v="0"/>
  </r>
  <r>
    <x v="674"/>
    <x v="11"/>
    <x v="12"/>
    <x v="20"/>
    <n v="175.2"/>
    <x v="28"/>
    <x v="36"/>
    <x v="2"/>
    <x v="1"/>
    <x v="2"/>
    <x v="0"/>
    <x v="6"/>
    <x v="6"/>
    <x v="4"/>
    <x v="2"/>
  </r>
  <r>
    <x v="675"/>
    <x v="1"/>
    <x v="0"/>
    <x v="487"/>
    <n v="75"/>
    <x v="28"/>
    <x v="27"/>
    <x v="2"/>
    <x v="4"/>
    <x v="1"/>
    <x v="0"/>
    <x v="6"/>
    <x v="1"/>
    <x v="4"/>
    <x v="2"/>
  </r>
  <r>
    <x v="676"/>
    <x v="2"/>
    <x v="0"/>
    <x v="488"/>
    <n v="169.9"/>
    <x v="28"/>
    <x v="26"/>
    <x v="1"/>
    <x v="2"/>
    <x v="0"/>
    <x v="0"/>
    <x v="6"/>
    <x v="3"/>
    <x v="4"/>
    <x v="1"/>
  </r>
  <r>
    <x v="677"/>
    <x v="9"/>
    <x v="1"/>
    <x v="489"/>
    <n v="144.4"/>
    <x v="28"/>
    <x v="27"/>
    <x v="2"/>
    <x v="4"/>
    <x v="1"/>
    <x v="0"/>
    <x v="6"/>
    <x v="1"/>
    <x v="4"/>
    <x v="2"/>
  </r>
  <r>
    <x v="678"/>
    <x v="0"/>
    <x v="0"/>
    <x v="490"/>
    <n v="20"/>
    <x v="29"/>
    <x v="33"/>
    <x v="2"/>
    <x v="2"/>
    <x v="1"/>
    <x v="0"/>
    <x v="7"/>
    <x v="2"/>
    <x v="4"/>
    <x v="2"/>
  </r>
  <r>
    <x v="679"/>
    <x v="9"/>
    <x v="1"/>
    <x v="363"/>
    <n v="81.599999999999994"/>
    <x v="29"/>
    <x v="30"/>
    <x v="2"/>
    <x v="3"/>
    <x v="2"/>
    <x v="0"/>
    <x v="8"/>
    <x v="1"/>
    <x v="4"/>
    <x v="2"/>
  </r>
  <r>
    <x v="680"/>
    <x v="10"/>
    <x v="12"/>
    <x v="491"/>
    <n v="232"/>
    <x v="29"/>
    <x v="34"/>
    <x v="2"/>
    <x v="0"/>
    <x v="0"/>
    <x v="0"/>
    <x v="8"/>
    <x v="5"/>
    <x v="4"/>
    <x v="2"/>
  </r>
  <r>
    <x v="681"/>
    <x v="12"/>
    <x v="1"/>
    <x v="39"/>
    <n v="86.2"/>
    <x v="29"/>
    <x v="27"/>
    <x v="2"/>
    <x v="1"/>
    <x v="2"/>
    <x v="0"/>
    <x v="8"/>
    <x v="3"/>
    <x v="4"/>
    <x v="2"/>
  </r>
  <r>
    <x v="682"/>
    <x v="6"/>
    <x v="11"/>
    <x v="492"/>
    <n v="672.30000000000007"/>
    <x v="29"/>
    <x v="30"/>
    <x v="1"/>
    <x v="0"/>
    <x v="2"/>
    <x v="0"/>
    <x v="8"/>
    <x v="1"/>
    <x v="4"/>
    <x v="1"/>
  </r>
  <r>
    <x v="683"/>
    <x v="6"/>
    <x v="0"/>
    <x v="493"/>
    <n v="128.19999999999999"/>
    <x v="29"/>
    <x v="26"/>
    <x v="1"/>
    <x v="1"/>
    <x v="0"/>
    <x v="0"/>
    <x v="8"/>
    <x v="7"/>
    <x v="4"/>
    <x v="1"/>
  </r>
  <r>
    <x v="684"/>
    <x v="14"/>
    <x v="12"/>
    <x v="494"/>
    <n v="106.8"/>
    <x v="29"/>
    <x v="27"/>
    <x v="1"/>
    <x v="1"/>
    <x v="0"/>
    <x v="0"/>
    <x v="8"/>
    <x v="3"/>
    <x v="4"/>
    <x v="1"/>
  </r>
  <r>
    <x v="685"/>
    <x v="17"/>
    <x v="13"/>
    <x v="217"/>
    <n v="189"/>
    <x v="29"/>
    <x v="27"/>
    <x v="2"/>
    <x v="2"/>
    <x v="0"/>
    <x v="0"/>
    <x v="17"/>
    <x v="3"/>
    <x v="4"/>
    <x v="2"/>
  </r>
  <r>
    <x v="686"/>
    <x v="3"/>
    <x v="3"/>
    <x v="337"/>
    <n v="452.90000000000003"/>
    <x v="29"/>
    <x v="27"/>
    <x v="2"/>
    <x v="0"/>
    <x v="2"/>
    <x v="0"/>
    <x v="9"/>
    <x v="3"/>
    <x v="4"/>
    <x v="2"/>
  </r>
  <r>
    <x v="687"/>
    <x v="5"/>
    <x v="1"/>
    <x v="495"/>
    <n v="111.2"/>
    <x v="29"/>
    <x v="33"/>
    <x v="2"/>
    <x v="3"/>
    <x v="0"/>
    <x v="0"/>
    <x v="11"/>
    <x v="2"/>
    <x v="4"/>
    <x v="2"/>
  </r>
  <r>
    <x v="688"/>
    <x v="3"/>
    <x v="1"/>
    <x v="310"/>
    <n v="72.400000000000006"/>
    <x v="29"/>
    <x v="27"/>
    <x v="2"/>
    <x v="3"/>
    <x v="0"/>
    <x v="0"/>
    <x v="11"/>
    <x v="3"/>
    <x v="4"/>
    <x v="2"/>
  </r>
  <r>
    <x v="689"/>
    <x v="0"/>
    <x v="0"/>
    <x v="439"/>
    <n v="26.6"/>
    <x v="29"/>
    <x v="27"/>
    <x v="0"/>
    <x v="1"/>
    <x v="1"/>
    <x v="0"/>
    <x v="19"/>
    <x v="3"/>
    <x v="4"/>
    <x v="0"/>
  </r>
  <r>
    <x v="690"/>
    <x v="10"/>
    <x v="12"/>
    <x v="217"/>
    <n v="126"/>
    <x v="29"/>
    <x v="30"/>
    <x v="1"/>
    <x v="0"/>
    <x v="0"/>
    <x v="0"/>
    <x v="31"/>
    <x v="1"/>
    <x v="4"/>
    <x v="1"/>
  </r>
  <r>
    <x v="691"/>
    <x v="10"/>
    <x v="0"/>
    <x v="49"/>
    <n v="27"/>
    <x v="29"/>
    <x v="30"/>
    <x v="2"/>
    <x v="1"/>
    <x v="2"/>
    <x v="0"/>
    <x v="13"/>
    <x v="1"/>
    <x v="4"/>
    <x v="2"/>
  </r>
  <r>
    <x v="692"/>
    <x v="4"/>
    <x v="0"/>
    <x v="34"/>
    <n v="32"/>
    <x v="29"/>
    <x v="33"/>
    <x v="1"/>
    <x v="3"/>
    <x v="0"/>
    <x v="0"/>
    <x v="21"/>
    <x v="2"/>
    <x v="4"/>
    <x v="1"/>
  </r>
  <r>
    <x v="693"/>
    <x v="1"/>
    <x v="2"/>
    <x v="142"/>
    <n v="144.30000000000001"/>
    <x v="29"/>
    <x v="30"/>
    <x v="1"/>
    <x v="2"/>
    <x v="1"/>
    <x v="0"/>
    <x v="1"/>
    <x v="1"/>
    <x v="4"/>
    <x v="1"/>
  </r>
  <r>
    <x v="694"/>
    <x v="9"/>
    <x v="1"/>
    <x v="171"/>
    <n v="86.8"/>
    <x v="29"/>
    <x v="27"/>
    <x v="1"/>
    <x v="1"/>
    <x v="1"/>
    <x v="0"/>
    <x v="22"/>
    <x v="3"/>
    <x v="4"/>
    <x v="1"/>
  </r>
  <r>
    <x v="695"/>
    <x v="6"/>
    <x v="1"/>
    <x v="325"/>
    <n v="85.2"/>
    <x v="29"/>
    <x v="33"/>
    <x v="2"/>
    <x v="3"/>
    <x v="0"/>
    <x v="0"/>
    <x v="22"/>
    <x v="2"/>
    <x v="4"/>
    <x v="2"/>
  </r>
  <r>
    <x v="696"/>
    <x v="8"/>
    <x v="1"/>
    <x v="496"/>
    <n v="31.8"/>
    <x v="29"/>
    <x v="27"/>
    <x v="2"/>
    <x v="0"/>
    <x v="0"/>
    <x v="0"/>
    <x v="34"/>
    <x v="3"/>
    <x v="4"/>
    <x v="2"/>
  </r>
  <r>
    <x v="697"/>
    <x v="9"/>
    <x v="1"/>
    <x v="56"/>
    <n v="126.4"/>
    <x v="29"/>
    <x v="27"/>
    <x v="1"/>
    <x v="1"/>
    <x v="0"/>
    <x v="0"/>
    <x v="3"/>
    <x v="3"/>
    <x v="4"/>
    <x v="1"/>
  </r>
  <r>
    <x v="698"/>
    <x v="7"/>
    <x v="12"/>
    <x v="497"/>
    <n v="259.2"/>
    <x v="29"/>
    <x v="30"/>
    <x v="0"/>
    <x v="4"/>
    <x v="1"/>
    <x v="0"/>
    <x v="3"/>
    <x v="1"/>
    <x v="4"/>
    <x v="0"/>
  </r>
  <r>
    <x v="699"/>
    <x v="7"/>
    <x v="2"/>
    <x v="304"/>
    <n v="239.39999999999998"/>
    <x v="29"/>
    <x v="27"/>
    <x v="1"/>
    <x v="0"/>
    <x v="0"/>
    <x v="0"/>
    <x v="3"/>
    <x v="3"/>
    <x v="4"/>
    <x v="1"/>
  </r>
  <r>
    <x v="700"/>
    <x v="9"/>
    <x v="0"/>
    <x v="10"/>
    <n v="54.4"/>
    <x v="29"/>
    <x v="30"/>
    <x v="2"/>
    <x v="4"/>
    <x v="2"/>
    <x v="0"/>
    <x v="3"/>
    <x v="1"/>
    <x v="4"/>
    <x v="2"/>
  </r>
  <r>
    <x v="701"/>
    <x v="6"/>
    <x v="0"/>
    <x v="317"/>
    <n v="87.3"/>
    <x v="29"/>
    <x v="27"/>
    <x v="1"/>
    <x v="1"/>
    <x v="0"/>
    <x v="0"/>
    <x v="3"/>
    <x v="3"/>
    <x v="4"/>
    <x v="1"/>
  </r>
  <r>
    <x v="702"/>
    <x v="8"/>
    <x v="12"/>
    <x v="498"/>
    <n v="129.6"/>
    <x v="29"/>
    <x v="26"/>
    <x v="1"/>
    <x v="1"/>
    <x v="0"/>
    <x v="0"/>
    <x v="3"/>
    <x v="7"/>
    <x v="4"/>
    <x v="1"/>
  </r>
  <r>
    <x v="703"/>
    <x v="2"/>
    <x v="0"/>
    <x v="499"/>
    <n v="177.4"/>
    <x v="29"/>
    <x v="34"/>
    <x v="1"/>
    <x v="0"/>
    <x v="2"/>
    <x v="0"/>
    <x v="3"/>
    <x v="5"/>
    <x v="4"/>
    <x v="1"/>
  </r>
  <r>
    <x v="704"/>
    <x v="7"/>
    <x v="1"/>
    <x v="163"/>
    <n v="140.19999999999999"/>
    <x v="29"/>
    <x v="27"/>
    <x v="1"/>
    <x v="3"/>
    <x v="1"/>
    <x v="0"/>
    <x v="3"/>
    <x v="3"/>
    <x v="4"/>
    <x v="1"/>
  </r>
  <r>
    <x v="705"/>
    <x v="9"/>
    <x v="13"/>
    <x v="18"/>
    <n v="306.60000000000002"/>
    <x v="29"/>
    <x v="27"/>
    <x v="2"/>
    <x v="0"/>
    <x v="0"/>
    <x v="0"/>
    <x v="3"/>
    <x v="3"/>
    <x v="4"/>
    <x v="2"/>
  </r>
  <r>
    <x v="706"/>
    <x v="2"/>
    <x v="9"/>
    <x v="22"/>
    <n v="399.5"/>
    <x v="29"/>
    <x v="30"/>
    <x v="1"/>
    <x v="3"/>
    <x v="2"/>
    <x v="0"/>
    <x v="24"/>
    <x v="1"/>
    <x v="4"/>
    <x v="1"/>
  </r>
  <r>
    <x v="707"/>
    <x v="6"/>
    <x v="0"/>
    <x v="222"/>
    <n v="57.6"/>
    <x v="30"/>
    <x v="36"/>
    <x v="1"/>
    <x v="0"/>
    <x v="2"/>
    <x v="0"/>
    <x v="49"/>
    <x v="0"/>
    <x v="4"/>
    <x v="1"/>
  </r>
  <r>
    <x v="708"/>
    <x v="8"/>
    <x v="7"/>
    <x v="115"/>
    <n v="597"/>
    <x v="30"/>
    <x v="32"/>
    <x v="1"/>
    <x v="2"/>
    <x v="0"/>
    <x v="0"/>
    <x v="25"/>
    <x v="5"/>
    <x v="4"/>
    <x v="1"/>
  </r>
  <r>
    <x v="709"/>
    <x v="8"/>
    <x v="9"/>
    <x v="500"/>
    <n v="150"/>
    <x v="30"/>
    <x v="33"/>
    <x v="1"/>
    <x v="1"/>
    <x v="0"/>
    <x v="0"/>
    <x v="6"/>
    <x v="1"/>
    <x v="4"/>
    <x v="1"/>
  </r>
  <r>
    <x v="710"/>
    <x v="10"/>
    <x v="1"/>
    <x v="62"/>
    <n v="138.4"/>
    <x v="30"/>
    <x v="33"/>
    <x v="0"/>
    <x v="2"/>
    <x v="1"/>
    <x v="0"/>
    <x v="6"/>
    <x v="1"/>
    <x v="4"/>
    <x v="0"/>
  </r>
  <r>
    <x v="711"/>
    <x v="0"/>
    <x v="8"/>
    <x v="0"/>
    <n v="87.2"/>
    <x v="30"/>
    <x v="30"/>
    <x v="2"/>
    <x v="0"/>
    <x v="2"/>
    <x v="0"/>
    <x v="6"/>
    <x v="3"/>
    <x v="4"/>
    <x v="2"/>
  </r>
  <r>
    <x v="712"/>
    <x v="16"/>
    <x v="1"/>
    <x v="379"/>
    <n v="97.2"/>
    <x v="30"/>
    <x v="32"/>
    <x v="1"/>
    <x v="1"/>
    <x v="2"/>
    <x v="0"/>
    <x v="6"/>
    <x v="5"/>
    <x v="4"/>
    <x v="1"/>
  </r>
  <r>
    <x v="713"/>
    <x v="2"/>
    <x v="1"/>
    <x v="501"/>
    <n v="122.2"/>
    <x v="30"/>
    <x v="34"/>
    <x v="2"/>
    <x v="1"/>
    <x v="2"/>
    <x v="0"/>
    <x v="7"/>
    <x v="2"/>
    <x v="4"/>
    <x v="2"/>
  </r>
  <r>
    <x v="714"/>
    <x v="8"/>
    <x v="1"/>
    <x v="372"/>
    <n v="46.4"/>
    <x v="30"/>
    <x v="30"/>
    <x v="1"/>
    <x v="3"/>
    <x v="2"/>
    <x v="0"/>
    <x v="8"/>
    <x v="3"/>
    <x v="4"/>
    <x v="1"/>
  </r>
  <r>
    <x v="715"/>
    <x v="12"/>
    <x v="12"/>
    <x v="502"/>
    <n v="223.2"/>
    <x v="30"/>
    <x v="30"/>
    <x v="1"/>
    <x v="0"/>
    <x v="0"/>
    <x v="0"/>
    <x v="8"/>
    <x v="3"/>
    <x v="4"/>
    <x v="1"/>
  </r>
  <r>
    <x v="716"/>
    <x v="9"/>
    <x v="12"/>
    <x v="486"/>
    <n v="99.2"/>
    <x v="30"/>
    <x v="30"/>
    <x v="2"/>
    <x v="0"/>
    <x v="2"/>
    <x v="0"/>
    <x v="8"/>
    <x v="3"/>
    <x v="4"/>
    <x v="2"/>
  </r>
  <r>
    <x v="717"/>
    <x v="10"/>
    <x v="1"/>
    <x v="343"/>
    <n v="55.8"/>
    <x v="30"/>
    <x v="27"/>
    <x v="1"/>
    <x v="2"/>
    <x v="2"/>
    <x v="0"/>
    <x v="8"/>
    <x v="7"/>
    <x v="4"/>
    <x v="1"/>
  </r>
  <r>
    <x v="718"/>
    <x v="10"/>
    <x v="13"/>
    <x v="18"/>
    <n v="306.60000000000002"/>
    <x v="30"/>
    <x v="27"/>
    <x v="2"/>
    <x v="3"/>
    <x v="0"/>
    <x v="0"/>
    <x v="8"/>
    <x v="7"/>
    <x v="4"/>
    <x v="2"/>
  </r>
  <r>
    <x v="719"/>
    <x v="17"/>
    <x v="5"/>
    <x v="195"/>
    <n v="359.70000000000005"/>
    <x v="30"/>
    <x v="30"/>
    <x v="1"/>
    <x v="4"/>
    <x v="2"/>
    <x v="0"/>
    <x v="17"/>
    <x v="3"/>
    <x v="4"/>
    <x v="1"/>
  </r>
  <r>
    <x v="720"/>
    <x v="8"/>
    <x v="12"/>
    <x v="243"/>
    <n v="90"/>
    <x v="30"/>
    <x v="27"/>
    <x v="1"/>
    <x v="0"/>
    <x v="2"/>
    <x v="0"/>
    <x v="26"/>
    <x v="7"/>
    <x v="4"/>
    <x v="1"/>
  </r>
  <r>
    <x v="721"/>
    <x v="0"/>
    <x v="3"/>
    <x v="503"/>
    <n v="102.2"/>
    <x v="30"/>
    <x v="30"/>
    <x v="2"/>
    <x v="2"/>
    <x v="0"/>
    <x v="0"/>
    <x v="41"/>
    <x v="3"/>
    <x v="4"/>
    <x v="2"/>
  </r>
  <r>
    <x v="722"/>
    <x v="5"/>
    <x v="2"/>
    <x v="504"/>
    <n v="97.5"/>
    <x v="30"/>
    <x v="34"/>
    <x v="1"/>
    <x v="0"/>
    <x v="0"/>
    <x v="0"/>
    <x v="10"/>
    <x v="2"/>
    <x v="4"/>
    <x v="1"/>
  </r>
  <r>
    <x v="723"/>
    <x v="18"/>
    <x v="0"/>
    <x v="505"/>
    <n v="78.099999999999994"/>
    <x v="30"/>
    <x v="34"/>
    <x v="1"/>
    <x v="0"/>
    <x v="2"/>
    <x v="0"/>
    <x v="11"/>
    <x v="2"/>
    <x v="4"/>
    <x v="1"/>
  </r>
  <r>
    <x v="724"/>
    <x v="12"/>
    <x v="13"/>
    <x v="506"/>
    <n v="661.2"/>
    <x v="30"/>
    <x v="27"/>
    <x v="1"/>
    <x v="1"/>
    <x v="4"/>
    <x v="0"/>
    <x v="13"/>
    <x v="7"/>
    <x v="4"/>
    <x v="1"/>
  </r>
  <r>
    <x v="725"/>
    <x v="6"/>
    <x v="2"/>
    <x v="507"/>
    <n v="258.89999999999998"/>
    <x v="30"/>
    <x v="33"/>
    <x v="2"/>
    <x v="3"/>
    <x v="0"/>
    <x v="0"/>
    <x v="21"/>
    <x v="1"/>
    <x v="4"/>
    <x v="2"/>
  </r>
  <r>
    <x v="726"/>
    <x v="1"/>
    <x v="13"/>
    <x v="508"/>
    <n v="441.59999999999997"/>
    <x v="30"/>
    <x v="33"/>
    <x v="3"/>
    <x v="3"/>
    <x v="4"/>
    <x v="0"/>
    <x v="44"/>
    <x v="1"/>
    <x v="4"/>
    <x v="3"/>
  </r>
  <r>
    <x v="727"/>
    <x v="6"/>
    <x v="15"/>
    <x v="509"/>
    <n v="880.1"/>
    <x v="30"/>
    <x v="33"/>
    <x v="2"/>
    <x v="0"/>
    <x v="2"/>
    <x v="0"/>
    <x v="3"/>
    <x v="1"/>
    <x v="4"/>
    <x v="2"/>
  </r>
  <r>
    <x v="728"/>
    <x v="7"/>
    <x v="13"/>
    <x v="510"/>
    <n v="853.19999999999993"/>
    <x v="30"/>
    <x v="30"/>
    <x v="2"/>
    <x v="2"/>
    <x v="4"/>
    <x v="0"/>
    <x v="3"/>
    <x v="3"/>
    <x v="4"/>
    <x v="2"/>
  </r>
  <r>
    <x v="729"/>
    <x v="1"/>
    <x v="11"/>
    <x v="511"/>
    <n v="412.2"/>
    <x v="30"/>
    <x v="33"/>
    <x v="2"/>
    <x v="1"/>
    <x v="2"/>
    <x v="0"/>
    <x v="3"/>
    <x v="1"/>
    <x v="4"/>
    <x v="2"/>
  </r>
  <r>
    <x v="730"/>
    <x v="10"/>
    <x v="1"/>
    <x v="512"/>
    <n v="48.4"/>
    <x v="31"/>
    <x v="32"/>
    <x v="2"/>
    <x v="3"/>
    <x v="2"/>
    <x v="0"/>
    <x v="3"/>
    <x v="2"/>
    <x v="4"/>
    <x v="2"/>
  </r>
  <r>
    <x v="731"/>
    <x v="2"/>
    <x v="2"/>
    <x v="513"/>
    <n v="434.70000000000005"/>
    <x v="31"/>
    <x v="33"/>
    <x v="3"/>
    <x v="2"/>
    <x v="2"/>
    <x v="0"/>
    <x v="3"/>
    <x v="3"/>
    <x v="4"/>
    <x v="3"/>
  </r>
  <r>
    <x v="732"/>
    <x v="11"/>
    <x v="9"/>
    <x v="413"/>
    <n v="164"/>
    <x v="31"/>
    <x v="32"/>
    <x v="2"/>
    <x v="2"/>
    <x v="0"/>
    <x v="0"/>
    <x v="23"/>
    <x v="2"/>
    <x v="4"/>
    <x v="2"/>
  </r>
  <r>
    <x v="733"/>
    <x v="7"/>
    <x v="7"/>
    <x v="8"/>
    <n v="357"/>
    <x v="31"/>
    <x v="30"/>
    <x v="2"/>
    <x v="0"/>
    <x v="1"/>
    <x v="0"/>
    <x v="6"/>
    <x v="7"/>
    <x v="4"/>
    <x v="2"/>
  </r>
  <r>
    <x v="734"/>
    <x v="9"/>
    <x v="1"/>
    <x v="514"/>
    <n v="109.2"/>
    <x v="31"/>
    <x v="33"/>
    <x v="2"/>
    <x v="2"/>
    <x v="0"/>
    <x v="0"/>
    <x v="6"/>
    <x v="3"/>
    <x v="4"/>
    <x v="2"/>
  </r>
  <r>
    <x v="735"/>
    <x v="8"/>
    <x v="1"/>
    <x v="8"/>
    <n v="71.400000000000006"/>
    <x v="31"/>
    <x v="32"/>
    <x v="0"/>
    <x v="0"/>
    <x v="1"/>
    <x v="0"/>
    <x v="6"/>
    <x v="2"/>
    <x v="4"/>
    <x v="0"/>
  </r>
  <r>
    <x v="736"/>
    <x v="10"/>
    <x v="1"/>
    <x v="515"/>
    <n v="104.8"/>
    <x v="31"/>
    <x v="30"/>
    <x v="2"/>
    <x v="0"/>
    <x v="3"/>
    <x v="0"/>
    <x v="6"/>
    <x v="7"/>
    <x v="4"/>
    <x v="2"/>
  </r>
  <r>
    <x v="737"/>
    <x v="8"/>
    <x v="21"/>
    <x v="261"/>
    <n v="226.79999999999998"/>
    <x v="31"/>
    <x v="33"/>
    <x v="0"/>
    <x v="0"/>
    <x v="1"/>
    <x v="0"/>
    <x v="8"/>
    <x v="3"/>
    <x v="4"/>
    <x v="0"/>
  </r>
  <r>
    <x v="738"/>
    <x v="6"/>
    <x v="35"/>
    <x v="443"/>
    <n v="2011.6"/>
    <x v="31"/>
    <x v="33"/>
    <x v="2"/>
    <x v="0"/>
    <x v="0"/>
    <x v="0"/>
    <x v="8"/>
    <x v="3"/>
    <x v="4"/>
    <x v="2"/>
  </r>
  <r>
    <x v="739"/>
    <x v="6"/>
    <x v="11"/>
    <x v="516"/>
    <n v="1299.6000000000001"/>
    <x v="31"/>
    <x v="32"/>
    <x v="2"/>
    <x v="4"/>
    <x v="0"/>
    <x v="0"/>
    <x v="8"/>
    <x v="2"/>
    <x v="4"/>
    <x v="2"/>
  </r>
  <r>
    <x v="740"/>
    <x v="3"/>
    <x v="34"/>
    <x v="1"/>
    <n v="1101.6000000000001"/>
    <x v="31"/>
    <x v="36"/>
    <x v="2"/>
    <x v="2"/>
    <x v="2"/>
    <x v="0"/>
    <x v="11"/>
    <x v="5"/>
    <x v="4"/>
    <x v="2"/>
  </r>
  <r>
    <x v="741"/>
    <x v="2"/>
    <x v="1"/>
    <x v="517"/>
    <n v="235"/>
    <x v="31"/>
    <x v="33"/>
    <x v="1"/>
    <x v="0"/>
    <x v="0"/>
    <x v="0"/>
    <x v="19"/>
    <x v="3"/>
    <x v="4"/>
    <x v="1"/>
  </r>
  <r>
    <x v="742"/>
    <x v="6"/>
    <x v="1"/>
    <x v="518"/>
    <n v="211.4"/>
    <x v="31"/>
    <x v="33"/>
    <x v="2"/>
    <x v="2"/>
    <x v="2"/>
    <x v="0"/>
    <x v="21"/>
    <x v="3"/>
    <x v="4"/>
    <x v="2"/>
  </r>
  <r>
    <x v="743"/>
    <x v="3"/>
    <x v="2"/>
    <x v="519"/>
    <n v="401.09999999999997"/>
    <x v="31"/>
    <x v="33"/>
    <x v="0"/>
    <x v="4"/>
    <x v="2"/>
    <x v="0"/>
    <x v="21"/>
    <x v="3"/>
    <x v="4"/>
    <x v="0"/>
  </r>
  <r>
    <x v="744"/>
    <x v="4"/>
    <x v="9"/>
    <x v="84"/>
    <n v="234"/>
    <x v="32"/>
    <x v="37"/>
    <x v="2"/>
    <x v="0"/>
    <x v="1"/>
    <x v="0"/>
    <x v="21"/>
    <x v="9"/>
    <x v="5"/>
    <x v="2"/>
  </r>
  <r>
    <x v="745"/>
    <x v="10"/>
    <x v="2"/>
    <x v="277"/>
    <n v="175.2"/>
    <x v="32"/>
    <x v="32"/>
    <x v="2"/>
    <x v="0"/>
    <x v="0"/>
    <x v="0"/>
    <x v="1"/>
    <x v="1"/>
    <x v="5"/>
    <x v="2"/>
  </r>
  <r>
    <x v="746"/>
    <x v="6"/>
    <x v="11"/>
    <x v="146"/>
    <n v="585.9"/>
    <x v="32"/>
    <x v="38"/>
    <x v="1"/>
    <x v="1"/>
    <x v="2"/>
    <x v="0"/>
    <x v="22"/>
    <x v="5"/>
    <x v="5"/>
    <x v="1"/>
  </r>
  <r>
    <x v="747"/>
    <x v="8"/>
    <x v="0"/>
    <x v="465"/>
    <n v="18.600000000000001"/>
    <x v="32"/>
    <x v="36"/>
    <x v="2"/>
    <x v="0"/>
    <x v="4"/>
    <x v="0"/>
    <x v="22"/>
    <x v="2"/>
    <x v="5"/>
    <x v="2"/>
  </r>
  <r>
    <x v="748"/>
    <x v="1"/>
    <x v="5"/>
    <x v="520"/>
    <n v="1015.3"/>
    <x v="32"/>
    <x v="32"/>
    <x v="1"/>
    <x v="1"/>
    <x v="0"/>
    <x v="0"/>
    <x v="3"/>
    <x v="1"/>
    <x v="5"/>
    <x v="1"/>
  </r>
  <r>
    <x v="749"/>
    <x v="6"/>
    <x v="2"/>
    <x v="521"/>
    <n v="245.10000000000002"/>
    <x v="32"/>
    <x v="34"/>
    <x v="0"/>
    <x v="4"/>
    <x v="4"/>
    <x v="0"/>
    <x v="3"/>
    <x v="3"/>
    <x v="5"/>
    <x v="0"/>
  </r>
  <r>
    <x v="750"/>
    <x v="8"/>
    <x v="1"/>
    <x v="446"/>
    <n v="81.8"/>
    <x v="32"/>
    <x v="32"/>
    <x v="1"/>
    <x v="0"/>
    <x v="1"/>
    <x v="0"/>
    <x v="3"/>
    <x v="1"/>
    <x v="5"/>
    <x v="1"/>
  </r>
  <r>
    <x v="751"/>
    <x v="6"/>
    <x v="12"/>
    <x v="522"/>
    <n v="172.8"/>
    <x v="32"/>
    <x v="39"/>
    <x v="2"/>
    <x v="0"/>
    <x v="1"/>
    <x v="0"/>
    <x v="3"/>
    <x v="4"/>
    <x v="5"/>
    <x v="2"/>
  </r>
  <r>
    <x v="752"/>
    <x v="8"/>
    <x v="5"/>
    <x v="136"/>
    <n v="283.8"/>
    <x v="32"/>
    <x v="36"/>
    <x v="1"/>
    <x v="2"/>
    <x v="1"/>
    <x v="0"/>
    <x v="3"/>
    <x v="2"/>
    <x v="5"/>
    <x v="1"/>
  </r>
  <r>
    <x v="753"/>
    <x v="15"/>
    <x v="12"/>
    <x v="128"/>
    <n v="145.6"/>
    <x v="32"/>
    <x v="34"/>
    <x v="1"/>
    <x v="0"/>
    <x v="0"/>
    <x v="0"/>
    <x v="3"/>
    <x v="3"/>
    <x v="5"/>
    <x v="1"/>
  </r>
  <r>
    <x v="754"/>
    <x v="10"/>
    <x v="0"/>
    <x v="523"/>
    <n v="59.1"/>
    <x v="32"/>
    <x v="34"/>
    <x v="2"/>
    <x v="2"/>
    <x v="0"/>
    <x v="0"/>
    <x v="7"/>
    <x v="3"/>
    <x v="5"/>
    <x v="2"/>
  </r>
  <r>
    <x v="755"/>
    <x v="2"/>
    <x v="14"/>
    <x v="417"/>
    <n v="1266.5"/>
    <x v="32"/>
    <x v="32"/>
    <x v="1"/>
    <x v="4"/>
    <x v="0"/>
    <x v="0"/>
    <x v="18"/>
    <x v="1"/>
    <x v="5"/>
    <x v="1"/>
  </r>
  <r>
    <x v="756"/>
    <x v="5"/>
    <x v="0"/>
    <x v="524"/>
    <n v="72.8"/>
    <x v="32"/>
    <x v="34"/>
    <x v="2"/>
    <x v="0"/>
    <x v="1"/>
    <x v="0"/>
    <x v="19"/>
    <x v="3"/>
    <x v="5"/>
    <x v="2"/>
  </r>
  <r>
    <x v="757"/>
    <x v="6"/>
    <x v="12"/>
    <x v="525"/>
    <n v="549.20000000000005"/>
    <x v="32"/>
    <x v="36"/>
    <x v="2"/>
    <x v="0"/>
    <x v="0"/>
    <x v="0"/>
    <x v="13"/>
    <x v="2"/>
    <x v="5"/>
    <x v="2"/>
  </r>
  <r>
    <x v="758"/>
    <x v="1"/>
    <x v="2"/>
    <x v="242"/>
    <n v="146.10000000000002"/>
    <x v="32"/>
    <x v="31"/>
    <x v="2"/>
    <x v="0"/>
    <x v="1"/>
    <x v="0"/>
    <x v="21"/>
    <x v="0"/>
    <x v="5"/>
    <x v="2"/>
  </r>
  <r>
    <x v="759"/>
    <x v="6"/>
    <x v="12"/>
    <x v="526"/>
    <n v="214.8"/>
    <x v="32"/>
    <x v="38"/>
    <x v="1"/>
    <x v="1"/>
    <x v="4"/>
    <x v="0"/>
    <x v="2"/>
    <x v="5"/>
    <x v="5"/>
    <x v="1"/>
  </r>
  <r>
    <x v="760"/>
    <x v="2"/>
    <x v="3"/>
    <x v="320"/>
    <n v="706.30000000000007"/>
    <x v="32"/>
    <x v="32"/>
    <x v="2"/>
    <x v="0"/>
    <x v="1"/>
    <x v="0"/>
    <x v="2"/>
    <x v="1"/>
    <x v="5"/>
    <x v="2"/>
  </r>
  <r>
    <x v="761"/>
    <x v="10"/>
    <x v="1"/>
    <x v="80"/>
    <n v="83.6"/>
    <x v="32"/>
    <x v="38"/>
    <x v="1"/>
    <x v="3"/>
    <x v="2"/>
    <x v="0"/>
    <x v="22"/>
    <x v="5"/>
    <x v="5"/>
    <x v="1"/>
  </r>
  <r>
    <x v="762"/>
    <x v="4"/>
    <x v="8"/>
    <x v="365"/>
    <n v="228"/>
    <x v="32"/>
    <x v="32"/>
    <x v="1"/>
    <x v="2"/>
    <x v="1"/>
    <x v="0"/>
    <x v="3"/>
    <x v="1"/>
    <x v="5"/>
    <x v="1"/>
  </r>
  <r>
    <x v="763"/>
    <x v="7"/>
    <x v="12"/>
    <x v="527"/>
    <n v="355.6"/>
    <x v="32"/>
    <x v="36"/>
    <x v="2"/>
    <x v="0"/>
    <x v="2"/>
    <x v="0"/>
    <x v="3"/>
    <x v="2"/>
    <x v="5"/>
    <x v="2"/>
  </r>
  <r>
    <x v="764"/>
    <x v="6"/>
    <x v="0"/>
    <x v="366"/>
    <n v="62.5"/>
    <x v="32"/>
    <x v="40"/>
    <x v="2"/>
    <x v="0"/>
    <x v="2"/>
    <x v="0"/>
    <x v="3"/>
    <x v="8"/>
    <x v="5"/>
    <x v="2"/>
  </r>
  <r>
    <x v="765"/>
    <x v="1"/>
    <x v="2"/>
    <x v="528"/>
    <n v="140.69999999999999"/>
    <x v="32"/>
    <x v="34"/>
    <x v="1"/>
    <x v="0"/>
    <x v="2"/>
    <x v="0"/>
    <x v="3"/>
    <x v="3"/>
    <x v="5"/>
    <x v="1"/>
  </r>
  <r>
    <x v="766"/>
    <x v="8"/>
    <x v="2"/>
    <x v="303"/>
    <n v="135"/>
    <x v="32"/>
    <x v="41"/>
    <x v="1"/>
    <x v="1"/>
    <x v="0"/>
    <x v="0"/>
    <x v="3"/>
    <x v="12"/>
    <x v="5"/>
    <x v="1"/>
  </r>
  <r>
    <x v="767"/>
    <x v="6"/>
    <x v="2"/>
    <x v="291"/>
    <n v="135.60000000000002"/>
    <x v="32"/>
    <x v="32"/>
    <x v="1"/>
    <x v="4"/>
    <x v="2"/>
    <x v="0"/>
    <x v="3"/>
    <x v="1"/>
    <x v="5"/>
    <x v="1"/>
  </r>
  <r>
    <x v="768"/>
    <x v="4"/>
    <x v="1"/>
    <x v="110"/>
    <n v="120.2"/>
    <x v="32"/>
    <x v="34"/>
    <x v="2"/>
    <x v="0"/>
    <x v="2"/>
    <x v="0"/>
    <x v="3"/>
    <x v="3"/>
    <x v="5"/>
    <x v="2"/>
  </r>
  <r>
    <x v="769"/>
    <x v="12"/>
    <x v="12"/>
    <x v="529"/>
    <n v="474.8"/>
    <x v="32"/>
    <x v="32"/>
    <x v="2"/>
    <x v="0"/>
    <x v="0"/>
    <x v="0"/>
    <x v="3"/>
    <x v="1"/>
    <x v="5"/>
    <x v="2"/>
  </r>
  <r>
    <x v="770"/>
    <x v="9"/>
    <x v="0"/>
    <x v="211"/>
    <n v="57.8"/>
    <x v="32"/>
    <x v="40"/>
    <x v="2"/>
    <x v="1"/>
    <x v="0"/>
    <x v="0"/>
    <x v="3"/>
    <x v="8"/>
    <x v="5"/>
    <x v="2"/>
  </r>
  <r>
    <x v="771"/>
    <x v="4"/>
    <x v="0"/>
    <x v="415"/>
    <n v="19.5"/>
    <x v="32"/>
    <x v="34"/>
    <x v="1"/>
    <x v="1"/>
    <x v="1"/>
    <x v="0"/>
    <x v="3"/>
    <x v="3"/>
    <x v="5"/>
    <x v="1"/>
  </r>
  <r>
    <x v="772"/>
    <x v="12"/>
    <x v="0"/>
    <x v="325"/>
    <n v="42.6"/>
    <x v="32"/>
    <x v="34"/>
    <x v="1"/>
    <x v="0"/>
    <x v="1"/>
    <x v="0"/>
    <x v="3"/>
    <x v="3"/>
    <x v="5"/>
    <x v="1"/>
  </r>
  <r>
    <x v="773"/>
    <x v="6"/>
    <x v="1"/>
    <x v="91"/>
    <n v="149.6"/>
    <x v="32"/>
    <x v="34"/>
    <x v="2"/>
    <x v="3"/>
    <x v="2"/>
    <x v="0"/>
    <x v="37"/>
    <x v="3"/>
    <x v="5"/>
    <x v="2"/>
  </r>
  <r>
    <x v="774"/>
    <x v="8"/>
    <x v="2"/>
    <x v="504"/>
    <n v="97.5"/>
    <x v="32"/>
    <x v="34"/>
    <x v="1"/>
    <x v="2"/>
    <x v="4"/>
    <x v="0"/>
    <x v="16"/>
    <x v="3"/>
    <x v="5"/>
    <x v="1"/>
  </r>
  <r>
    <x v="775"/>
    <x v="2"/>
    <x v="2"/>
    <x v="530"/>
    <n v="181.5"/>
    <x v="32"/>
    <x v="33"/>
    <x v="2"/>
    <x v="1"/>
    <x v="2"/>
    <x v="0"/>
    <x v="25"/>
    <x v="7"/>
    <x v="5"/>
    <x v="2"/>
  </r>
  <r>
    <x v="776"/>
    <x v="1"/>
    <x v="3"/>
    <x v="27"/>
    <n v="400.40000000000003"/>
    <x v="32"/>
    <x v="32"/>
    <x v="0"/>
    <x v="2"/>
    <x v="0"/>
    <x v="0"/>
    <x v="25"/>
    <x v="1"/>
    <x v="5"/>
    <x v="0"/>
  </r>
  <r>
    <x v="777"/>
    <x v="16"/>
    <x v="1"/>
    <x v="531"/>
    <n v="224"/>
    <x v="32"/>
    <x v="34"/>
    <x v="2"/>
    <x v="1"/>
    <x v="1"/>
    <x v="0"/>
    <x v="5"/>
    <x v="3"/>
    <x v="5"/>
    <x v="2"/>
  </r>
  <r>
    <x v="778"/>
    <x v="7"/>
    <x v="7"/>
    <x v="11"/>
    <n v="490"/>
    <x v="32"/>
    <x v="34"/>
    <x v="3"/>
    <x v="2"/>
    <x v="1"/>
    <x v="0"/>
    <x v="6"/>
    <x v="3"/>
    <x v="5"/>
    <x v="3"/>
  </r>
  <r>
    <x v="779"/>
    <x v="0"/>
    <x v="1"/>
    <x v="532"/>
    <n v="67.400000000000006"/>
    <x v="32"/>
    <x v="38"/>
    <x v="2"/>
    <x v="3"/>
    <x v="0"/>
    <x v="0"/>
    <x v="6"/>
    <x v="5"/>
    <x v="5"/>
    <x v="2"/>
  </r>
  <r>
    <x v="780"/>
    <x v="4"/>
    <x v="2"/>
    <x v="533"/>
    <n v="106.80000000000001"/>
    <x v="32"/>
    <x v="36"/>
    <x v="2"/>
    <x v="0"/>
    <x v="2"/>
    <x v="0"/>
    <x v="6"/>
    <x v="2"/>
    <x v="5"/>
    <x v="2"/>
  </r>
  <r>
    <x v="781"/>
    <x v="4"/>
    <x v="36"/>
    <x v="248"/>
    <n v="1064"/>
    <x v="33"/>
    <x v="34"/>
    <x v="2"/>
    <x v="0"/>
    <x v="1"/>
    <x v="0"/>
    <x v="7"/>
    <x v="7"/>
    <x v="5"/>
    <x v="2"/>
  </r>
  <r>
    <x v="782"/>
    <x v="10"/>
    <x v="4"/>
    <x v="534"/>
    <n v="602.40000000000009"/>
    <x v="33"/>
    <x v="32"/>
    <x v="1"/>
    <x v="4"/>
    <x v="0"/>
    <x v="0"/>
    <x v="8"/>
    <x v="3"/>
    <x v="5"/>
    <x v="1"/>
  </r>
  <r>
    <x v="783"/>
    <x v="1"/>
    <x v="1"/>
    <x v="535"/>
    <n v="87.4"/>
    <x v="33"/>
    <x v="36"/>
    <x v="2"/>
    <x v="0"/>
    <x v="0"/>
    <x v="0"/>
    <x v="8"/>
    <x v="1"/>
    <x v="5"/>
    <x v="2"/>
  </r>
  <r>
    <x v="784"/>
    <x v="10"/>
    <x v="0"/>
    <x v="57"/>
    <n v="33.299999999999997"/>
    <x v="33"/>
    <x v="32"/>
    <x v="2"/>
    <x v="2"/>
    <x v="1"/>
    <x v="0"/>
    <x v="8"/>
    <x v="3"/>
    <x v="5"/>
    <x v="2"/>
  </r>
  <r>
    <x v="785"/>
    <x v="8"/>
    <x v="12"/>
    <x v="536"/>
    <n v="60.4"/>
    <x v="33"/>
    <x v="36"/>
    <x v="2"/>
    <x v="4"/>
    <x v="2"/>
    <x v="0"/>
    <x v="8"/>
    <x v="1"/>
    <x v="5"/>
    <x v="2"/>
  </r>
  <r>
    <x v="786"/>
    <x v="6"/>
    <x v="9"/>
    <x v="537"/>
    <n v="591"/>
    <x v="33"/>
    <x v="32"/>
    <x v="2"/>
    <x v="3"/>
    <x v="4"/>
    <x v="0"/>
    <x v="8"/>
    <x v="3"/>
    <x v="5"/>
    <x v="2"/>
  </r>
  <r>
    <x v="787"/>
    <x v="10"/>
    <x v="2"/>
    <x v="538"/>
    <n v="86.699999999999989"/>
    <x v="33"/>
    <x v="36"/>
    <x v="2"/>
    <x v="2"/>
    <x v="1"/>
    <x v="0"/>
    <x v="8"/>
    <x v="1"/>
    <x v="5"/>
    <x v="2"/>
  </r>
  <r>
    <x v="788"/>
    <x v="4"/>
    <x v="2"/>
    <x v="495"/>
    <n v="166.8"/>
    <x v="33"/>
    <x v="32"/>
    <x v="1"/>
    <x v="0"/>
    <x v="1"/>
    <x v="0"/>
    <x v="8"/>
    <x v="3"/>
    <x v="5"/>
    <x v="1"/>
  </r>
  <r>
    <x v="789"/>
    <x v="9"/>
    <x v="12"/>
    <x v="170"/>
    <n v="102.4"/>
    <x v="33"/>
    <x v="36"/>
    <x v="2"/>
    <x v="0"/>
    <x v="1"/>
    <x v="0"/>
    <x v="8"/>
    <x v="1"/>
    <x v="5"/>
    <x v="2"/>
  </r>
  <r>
    <x v="790"/>
    <x v="7"/>
    <x v="2"/>
    <x v="375"/>
    <n v="93.9"/>
    <x v="33"/>
    <x v="32"/>
    <x v="1"/>
    <x v="0"/>
    <x v="0"/>
    <x v="0"/>
    <x v="17"/>
    <x v="3"/>
    <x v="5"/>
    <x v="1"/>
  </r>
  <r>
    <x v="791"/>
    <x v="0"/>
    <x v="2"/>
    <x v="237"/>
    <n v="66.300000000000011"/>
    <x v="33"/>
    <x v="31"/>
    <x v="1"/>
    <x v="0"/>
    <x v="0"/>
    <x v="0"/>
    <x v="17"/>
    <x v="5"/>
    <x v="5"/>
    <x v="1"/>
  </r>
  <r>
    <x v="792"/>
    <x v="2"/>
    <x v="21"/>
    <x v="539"/>
    <n v="1391.6000000000001"/>
    <x v="33"/>
    <x v="32"/>
    <x v="1"/>
    <x v="1"/>
    <x v="0"/>
    <x v="0"/>
    <x v="11"/>
    <x v="3"/>
    <x v="5"/>
    <x v="1"/>
  </r>
  <r>
    <x v="793"/>
    <x v="7"/>
    <x v="13"/>
    <x v="450"/>
    <n v="399.59999999999997"/>
    <x v="33"/>
    <x v="32"/>
    <x v="2"/>
    <x v="0"/>
    <x v="0"/>
    <x v="0"/>
    <x v="11"/>
    <x v="3"/>
    <x v="5"/>
    <x v="2"/>
  </r>
  <r>
    <x v="794"/>
    <x v="8"/>
    <x v="1"/>
    <x v="351"/>
    <n v="45.2"/>
    <x v="33"/>
    <x v="38"/>
    <x v="1"/>
    <x v="0"/>
    <x v="0"/>
    <x v="0"/>
    <x v="11"/>
    <x v="2"/>
    <x v="5"/>
    <x v="1"/>
  </r>
  <r>
    <x v="795"/>
    <x v="2"/>
    <x v="16"/>
    <x v="114"/>
    <n v="1202.3999999999999"/>
    <x v="33"/>
    <x v="32"/>
    <x v="2"/>
    <x v="0"/>
    <x v="4"/>
    <x v="0"/>
    <x v="13"/>
    <x v="3"/>
    <x v="5"/>
    <x v="2"/>
  </r>
  <r>
    <x v="796"/>
    <x v="0"/>
    <x v="12"/>
    <x v="390"/>
    <n v="83.2"/>
    <x v="33"/>
    <x v="37"/>
    <x v="1"/>
    <x v="1"/>
    <x v="4"/>
    <x v="0"/>
    <x v="1"/>
    <x v="6"/>
    <x v="5"/>
    <x v="1"/>
  </r>
  <r>
    <x v="797"/>
    <x v="2"/>
    <x v="3"/>
    <x v="540"/>
    <n v="717.5"/>
    <x v="33"/>
    <x v="32"/>
    <x v="2"/>
    <x v="4"/>
    <x v="2"/>
    <x v="0"/>
    <x v="3"/>
    <x v="3"/>
    <x v="5"/>
    <x v="2"/>
  </r>
  <r>
    <x v="798"/>
    <x v="0"/>
    <x v="16"/>
    <x v="486"/>
    <n v="446.40000000000003"/>
    <x v="33"/>
    <x v="31"/>
    <x v="2"/>
    <x v="0"/>
    <x v="0"/>
    <x v="0"/>
    <x v="3"/>
    <x v="5"/>
    <x v="5"/>
    <x v="2"/>
  </r>
  <r>
    <x v="799"/>
    <x v="4"/>
    <x v="37"/>
    <x v="541"/>
    <n v="973.4"/>
    <x v="33"/>
    <x v="32"/>
    <x v="2"/>
    <x v="3"/>
    <x v="0"/>
    <x v="0"/>
    <x v="3"/>
    <x v="3"/>
    <x v="5"/>
    <x v="2"/>
  </r>
  <r>
    <x v="800"/>
    <x v="9"/>
    <x v="9"/>
    <x v="542"/>
    <n v="296.5"/>
    <x v="33"/>
    <x v="38"/>
    <x v="1"/>
    <x v="1"/>
    <x v="2"/>
    <x v="0"/>
    <x v="43"/>
    <x v="2"/>
    <x v="5"/>
    <x v="1"/>
  </r>
  <r>
    <x v="801"/>
    <x v="11"/>
    <x v="13"/>
    <x v="37"/>
    <n v="234"/>
    <x v="33"/>
    <x v="38"/>
    <x v="1"/>
    <x v="1"/>
    <x v="0"/>
    <x v="0"/>
    <x v="6"/>
    <x v="2"/>
    <x v="5"/>
    <x v="1"/>
  </r>
  <r>
    <x v="802"/>
    <x v="5"/>
    <x v="13"/>
    <x v="543"/>
    <n v="591.59999999999991"/>
    <x v="33"/>
    <x v="36"/>
    <x v="2"/>
    <x v="1"/>
    <x v="0"/>
    <x v="0"/>
    <x v="6"/>
    <x v="1"/>
    <x v="5"/>
    <x v="2"/>
  </r>
  <r>
    <x v="803"/>
    <x v="8"/>
    <x v="0"/>
    <x v="490"/>
    <n v="20"/>
    <x v="34"/>
    <x v="36"/>
    <x v="1"/>
    <x v="3"/>
    <x v="2"/>
    <x v="0"/>
    <x v="8"/>
    <x v="3"/>
    <x v="5"/>
    <x v="1"/>
  </r>
  <r>
    <x v="804"/>
    <x v="1"/>
    <x v="1"/>
    <x v="429"/>
    <n v="85.8"/>
    <x v="34"/>
    <x v="38"/>
    <x v="2"/>
    <x v="0"/>
    <x v="2"/>
    <x v="0"/>
    <x v="8"/>
    <x v="1"/>
    <x v="5"/>
    <x v="2"/>
  </r>
  <r>
    <x v="805"/>
    <x v="7"/>
    <x v="3"/>
    <x v="495"/>
    <n v="389.2"/>
    <x v="34"/>
    <x v="38"/>
    <x v="2"/>
    <x v="2"/>
    <x v="1"/>
    <x v="0"/>
    <x v="8"/>
    <x v="1"/>
    <x v="5"/>
    <x v="2"/>
  </r>
  <r>
    <x v="806"/>
    <x v="8"/>
    <x v="12"/>
    <x v="359"/>
    <n v="76.8"/>
    <x v="34"/>
    <x v="35"/>
    <x v="2"/>
    <x v="0"/>
    <x v="0"/>
    <x v="0"/>
    <x v="41"/>
    <x v="0"/>
    <x v="5"/>
    <x v="2"/>
  </r>
  <r>
    <x v="807"/>
    <x v="5"/>
    <x v="1"/>
    <x v="144"/>
    <n v="57.6"/>
    <x v="34"/>
    <x v="38"/>
    <x v="1"/>
    <x v="1"/>
    <x v="0"/>
    <x v="0"/>
    <x v="18"/>
    <x v="1"/>
    <x v="5"/>
    <x v="1"/>
  </r>
  <r>
    <x v="808"/>
    <x v="4"/>
    <x v="0"/>
    <x v="47"/>
    <n v="29.7"/>
    <x v="34"/>
    <x v="38"/>
    <x v="2"/>
    <x v="2"/>
    <x v="4"/>
    <x v="0"/>
    <x v="20"/>
    <x v="1"/>
    <x v="5"/>
    <x v="2"/>
  </r>
  <r>
    <x v="809"/>
    <x v="6"/>
    <x v="13"/>
    <x v="113"/>
    <n v="379.79999999999995"/>
    <x v="34"/>
    <x v="36"/>
    <x v="0"/>
    <x v="0"/>
    <x v="2"/>
    <x v="0"/>
    <x v="21"/>
    <x v="3"/>
    <x v="5"/>
    <x v="0"/>
  </r>
  <r>
    <x v="810"/>
    <x v="4"/>
    <x v="0"/>
    <x v="544"/>
    <n v="46"/>
    <x v="34"/>
    <x v="36"/>
    <x v="2"/>
    <x v="0"/>
    <x v="2"/>
    <x v="0"/>
    <x v="21"/>
    <x v="3"/>
    <x v="5"/>
    <x v="2"/>
  </r>
  <r>
    <x v="811"/>
    <x v="11"/>
    <x v="2"/>
    <x v="545"/>
    <n v="114"/>
    <x v="34"/>
    <x v="38"/>
    <x v="2"/>
    <x v="1"/>
    <x v="2"/>
    <x v="0"/>
    <x v="21"/>
    <x v="1"/>
    <x v="5"/>
    <x v="2"/>
  </r>
  <r>
    <x v="812"/>
    <x v="10"/>
    <x v="15"/>
    <x v="292"/>
    <n v="449.8"/>
    <x v="34"/>
    <x v="38"/>
    <x v="2"/>
    <x v="0"/>
    <x v="1"/>
    <x v="0"/>
    <x v="21"/>
    <x v="1"/>
    <x v="5"/>
    <x v="2"/>
  </r>
  <r>
    <x v="813"/>
    <x v="3"/>
    <x v="7"/>
    <x v="546"/>
    <n v="797"/>
    <x v="34"/>
    <x v="36"/>
    <x v="2"/>
    <x v="4"/>
    <x v="1"/>
    <x v="0"/>
    <x v="21"/>
    <x v="3"/>
    <x v="5"/>
    <x v="2"/>
  </r>
  <r>
    <x v="814"/>
    <x v="8"/>
    <x v="8"/>
    <x v="162"/>
    <n v="244"/>
    <x v="34"/>
    <x v="39"/>
    <x v="1"/>
    <x v="3"/>
    <x v="0"/>
    <x v="0"/>
    <x v="1"/>
    <x v="5"/>
    <x v="5"/>
    <x v="1"/>
  </r>
  <r>
    <x v="815"/>
    <x v="0"/>
    <x v="1"/>
    <x v="390"/>
    <n v="41.6"/>
    <x v="34"/>
    <x v="36"/>
    <x v="2"/>
    <x v="0"/>
    <x v="0"/>
    <x v="0"/>
    <x v="2"/>
    <x v="3"/>
    <x v="5"/>
    <x v="2"/>
  </r>
  <r>
    <x v="816"/>
    <x v="11"/>
    <x v="3"/>
    <x v="286"/>
    <n v="339.5"/>
    <x v="34"/>
    <x v="39"/>
    <x v="2"/>
    <x v="2"/>
    <x v="2"/>
    <x v="0"/>
    <x v="2"/>
    <x v="5"/>
    <x v="5"/>
    <x v="2"/>
  </r>
  <r>
    <x v="817"/>
    <x v="2"/>
    <x v="12"/>
    <x v="547"/>
    <n v="247.2"/>
    <x v="34"/>
    <x v="39"/>
    <x v="2"/>
    <x v="4"/>
    <x v="0"/>
    <x v="0"/>
    <x v="22"/>
    <x v="5"/>
    <x v="5"/>
    <x v="2"/>
  </r>
  <r>
    <x v="818"/>
    <x v="10"/>
    <x v="0"/>
    <x v="354"/>
    <n v="46.1"/>
    <x v="34"/>
    <x v="36"/>
    <x v="3"/>
    <x v="2"/>
    <x v="0"/>
    <x v="0"/>
    <x v="3"/>
    <x v="3"/>
    <x v="5"/>
    <x v="3"/>
  </r>
  <r>
    <x v="819"/>
    <x v="4"/>
    <x v="13"/>
    <x v="548"/>
    <n v="264"/>
    <x v="34"/>
    <x v="36"/>
    <x v="2"/>
    <x v="0"/>
    <x v="0"/>
    <x v="0"/>
    <x v="3"/>
    <x v="3"/>
    <x v="5"/>
    <x v="2"/>
  </r>
  <r>
    <x v="820"/>
    <x v="18"/>
    <x v="1"/>
    <x v="549"/>
    <n v="191.4"/>
    <x v="34"/>
    <x v="37"/>
    <x v="2"/>
    <x v="3"/>
    <x v="2"/>
    <x v="0"/>
    <x v="3"/>
    <x v="4"/>
    <x v="5"/>
    <x v="2"/>
  </r>
  <r>
    <x v="821"/>
    <x v="7"/>
    <x v="9"/>
    <x v="340"/>
    <n v="232"/>
    <x v="34"/>
    <x v="31"/>
    <x v="2"/>
    <x v="0"/>
    <x v="0"/>
    <x v="0"/>
    <x v="3"/>
    <x v="2"/>
    <x v="5"/>
    <x v="2"/>
  </r>
  <r>
    <x v="822"/>
    <x v="6"/>
    <x v="1"/>
    <x v="550"/>
    <n v="94.4"/>
    <x v="34"/>
    <x v="38"/>
    <x v="2"/>
    <x v="0"/>
    <x v="2"/>
    <x v="0"/>
    <x v="3"/>
    <x v="1"/>
    <x v="5"/>
    <x v="2"/>
  </r>
  <r>
    <x v="823"/>
    <x v="7"/>
    <x v="1"/>
    <x v="75"/>
    <n v="117.2"/>
    <x v="34"/>
    <x v="36"/>
    <x v="2"/>
    <x v="2"/>
    <x v="1"/>
    <x v="0"/>
    <x v="3"/>
    <x v="3"/>
    <x v="5"/>
    <x v="2"/>
  </r>
  <r>
    <x v="824"/>
    <x v="4"/>
    <x v="2"/>
    <x v="551"/>
    <n v="171"/>
    <x v="34"/>
    <x v="36"/>
    <x v="1"/>
    <x v="0"/>
    <x v="2"/>
    <x v="0"/>
    <x v="3"/>
    <x v="3"/>
    <x v="5"/>
    <x v="1"/>
  </r>
  <r>
    <x v="825"/>
    <x v="8"/>
    <x v="12"/>
    <x v="538"/>
    <n v="115.6"/>
    <x v="34"/>
    <x v="39"/>
    <x v="1"/>
    <x v="2"/>
    <x v="0"/>
    <x v="0"/>
    <x v="3"/>
    <x v="5"/>
    <x v="5"/>
    <x v="1"/>
  </r>
  <r>
    <x v="826"/>
    <x v="12"/>
    <x v="9"/>
    <x v="552"/>
    <n v="303.5"/>
    <x v="34"/>
    <x v="39"/>
    <x v="0"/>
    <x v="1"/>
    <x v="1"/>
    <x v="0"/>
    <x v="3"/>
    <x v="5"/>
    <x v="5"/>
    <x v="0"/>
  </r>
  <r>
    <x v="827"/>
    <x v="6"/>
    <x v="9"/>
    <x v="553"/>
    <n v="304"/>
    <x v="34"/>
    <x v="39"/>
    <x v="1"/>
    <x v="0"/>
    <x v="1"/>
    <x v="0"/>
    <x v="3"/>
    <x v="5"/>
    <x v="5"/>
    <x v="1"/>
  </r>
  <r>
    <x v="828"/>
    <x v="6"/>
    <x v="9"/>
    <x v="554"/>
    <n v="323"/>
    <x v="34"/>
    <x v="36"/>
    <x v="2"/>
    <x v="3"/>
    <x v="0"/>
    <x v="0"/>
    <x v="3"/>
    <x v="3"/>
    <x v="5"/>
    <x v="2"/>
  </r>
  <r>
    <x v="829"/>
    <x v="8"/>
    <x v="0"/>
    <x v="421"/>
    <n v="21.9"/>
    <x v="34"/>
    <x v="31"/>
    <x v="1"/>
    <x v="1"/>
    <x v="2"/>
    <x v="0"/>
    <x v="4"/>
    <x v="2"/>
    <x v="5"/>
    <x v="1"/>
  </r>
  <r>
    <x v="830"/>
    <x v="4"/>
    <x v="4"/>
    <x v="172"/>
    <n v="400.79999999999995"/>
    <x v="34"/>
    <x v="38"/>
    <x v="2"/>
    <x v="0"/>
    <x v="0"/>
    <x v="0"/>
    <x v="23"/>
    <x v="1"/>
    <x v="5"/>
    <x v="2"/>
  </r>
  <r>
    <x v="831"/>
    <x v="2"/>
    <x v="0"/>
    <x v="309"/>
    <n v="51.7"/>
    <x v="34"/>
    <x v="36"/>
    <x v="0"/>
    <x v="0"/>
    <x v="0"/>
    <x v="0"/>
    <x v="6"/>
    <x v="3"/>
    <x v="5"/>
    <x v="0"/>
  </r>
  <r>
    <x v="832"/>
    <x v="1"/>
    <x v="12"/>
    <x v="555"/>
    <n v="339.6"/>
    <x v="34"/>
    <x v="36"/>
    <x v="2"/>
    <x v="1"/>
    <x v="1"/>
    <x v="0"/>
    <x v="6"/>
    <x v="3"/>
    <x v="5"/>
    <x v="2"/>
  </r>
  <r>
    <x v="833"/>
    <x v="1"/>
    <x v="5"/>
    <x v="556"/>
    <n v="685.3"/>
    <x v="34"/>
    <x v="36"/>
    <x v="2"/>
    <x v="2"/>
    <x v="2"/>
    <x v="0"/>
    <x v="7"/>
    <x v="3"/>
    <x v="5"/>
    <x v="2"/>
  </r>
  <r>
    <x v="834"/>
    <x v="4"/>
    <x v="0"/>
    <x v="155"/>
    <n v="50.7"/>
    <x v="34"/>
    <x v="38"/>
    <x v="1"/>
    <x v="2"/>
    <x v="2"/>
    <x v="0"/>
    <x v="8"/>
    <x v="1"/>
    <x v="5"/>
    <x v="1"/>
  </r>
  <r>
    <x v="835"/>
    <x v="18"/>
    <x v="0"/>
    <x v="557"/>
    <n v="39.5"/>
    <x v="34"/>
    <x v="36"/>
    <x v="1"/>
    <x v="4"/>
    <x v="1"/>
    <x v="0"/>
    <x v="8"/>
    <x v="3"/>
    <x v="5"/>
    <x v="1"/>
  </r>
  <r>
    <x v="836"/>
    <x v="12"/>
    <x v="2"/>
    <x v="15"/>
    <n v="92.699999999999989"/>
    <x v="34"/>
    <x v="36"/>
    <x v="0"/>
    <x v="4"/>
    <x v="2"/>
    <x v="0"/>
    <x v="8"/>
    <x v="3"/>
    <x v="5"/>
    <x v="0"/>
  </r>
  <r>
    <x v="837"/>
    <x v="1"/>
    <x v="3"/>
    <x v="128"/>
    <n v="254.79999999999998"/>
    <x v="34"/>
    <x v="31"/>
    <x v="2"/>
    <x v="0"/>
    <x v="2"/>
    <x v="0"/>
    <x v="8"/>
    <x v="2"/>
    <x v="5"/>
    <x v="2"/>
  </r>
  <r>
    <x v="838"/>
    <x v="6"/>
    <x v="8"/>
    <x v="339"/>
    <n v="844.8"/>
    <x v="34"/>
    <x v="42"/>
    <x v="2"/>
    <x v="0"/>
    <x v="0"/>
    <x v="0"/>
    <x v="8"/>
    <x v="14"/>
    <x v="5"/>
    <x v="2"/>
  </r>
  <r>
    <x v="839"/>
    <x v="8"/>
    <x v="1"/>
    <x v="237"/>
    <n v="44.2"/>
    <x v="34"/>
    <x v="36"/>
    <x v="2"/>
    <x v="0"/>
    <x v="2"/>
    <x v="0"/>
    <x v="17"/>
    <x v="3"/>
    <x v="5"/>
    <x v="2"/>
  </r>
  <r>
    <x v="840"/>
    <x v="0"/>
    <x v="2"/>
    <x v="351"/>
    <n v="67.800000000000011"/>
    <x v="34"/>
    <x v="36"/>
    <x v="2"/>
    <x v="2"/>
    <x v="0"/>
    <x v="0"/>
    <x v="17"/>
    <x v="3"/>
    <x v="5"/>
    <x v="2"/>
  </r>
  <r>
    <x v="841"/>
    <x v="10"/>
    <x v="13"/>
    <x v="133"/>
    <n v="157.80000000000001"/>
    <x v="34"/>
    <x v="32"/>
    <x v="2"/>
    <x v="2"/>
    <x v="0"/>
    <x v="0"/>
    <x v="9"/>
    <x v="7"/>
    <x v="5"/>
    <x v="2"/>
  </r>
  <r>
    <x v="842"/>
    <x v="1"/>
    <x v="12"/>
    <x v="256"/>
    <n v="151.19999999999999"/>
    <x v="34"/>
    <x v="36"/>
    <x v="2"/>
    <x v="0"/>
    <x v="2"/>
    <x v="0"/>
    <x v="11"/>
    <x v="3"/>
    <x v="5"/>
    <x v="2"/>
  </r>
  <r>
    <x v="843"/>
    <x v="6"/>
    <x v="14"/>
    <x v="558"/>
    <n v="1632"/>
    <x v="34"/>
    <x v="31"/>
    <x v="2"/>
    <x v="4"/>
    <x v="1"/>
    <x v="0"/>
    <x v="18"/>
    <x v="2"/>
    <x v="5"/>
    <x v="2"/>
  </r>
  <r>
    <x v="844"/>
    <x v="1"/>
    <x v="0"/>
    <x v="331"/>
    <n v="83.6"/>
    <x v="34"/>
    <x v="31"/>
    <x v="2"/>
    <x v="2"/>
    <x v="1"/>
    <x v="0"/>
    <x v="19"/>
    <x v="2"/>
    <x v="5"/>
    <x v="2"/>
  </r>
  <r>
    <x v="845"/>
    <x v="2"/>
    <x v="13"/>
    <x v="559"/>
    <n v="435.59999999999997"/>
    <x v="34"/>
    <x v="36"/>
    <x v="2"/>
    <x v="0"/>
    <x v="0"/>
    <x v="0"/>
    <x v="21"/>
    <x v="3"/>
    <x v="5"/>
    <x v="2"/>
  </r>
  <r>
    <x v="846"/>
    <x v="5"/>
    <x v="28"/>
    <x v="276"/>
    <n v="1382"/>
    <x v="35"/>
    <x v="40"/>
    <x v="1"/>
    <x v="0"/>
    <x v="2"/>
    <x v="0"/>
    <x v="21"/>
    <x v="4"/>
    <x v="5"/>
    <x v="1"/>
  </r>
  <r>
    <x v="847"/>
    <x v="4"/>
    <x v="1"/>
    <x v="351"/>
    <n v="45.2"/>
    <x v="35"/>
    <x v="31"/>
    <x v="2"/>
    <x v="1"/>
    <x v="2"/>
    <x v="0"/>
    <x v="21"/>
    <x v="1"/>
    <x v="5"/>
    <x v="2"/>
  </r>
  <r>
    <x v="848"/>
    <x v="6"/>
    <x v="1"/>
    <x v="299"/>
    <n v="90.6"/>
    <x v="35"/>
    <x v="35"/>
    <x v="1"/>
    <x v="4"/>
    <x v="2"/>
    <x v="0"/>
    <x v="21"/>
    <x v="5"/>
    <x v="5"/>
    <x v="1"/>
  </r>
  <r>
    <x v="849"/>
    <x v="2"/>
    <x v="1"/>
    <x v="560"/>
    <n v="230.2"/>
    <x v="35"/>
    <x v="38"/>
    <x v="2"/>
    <x v="1"/>
    <x v="0"/>
    <x v="0"/>
    <x v="1"/>
    <x v="3"/>
    <x v="5"/>
    <x v="2"/>
  </r>
  <r>
    <x v="850"/>
    <x v="18"/>
    <x v="12"/>
    <x v="561"/>
    <n v="316"/>
    <x v="35"/>
    <x v="31"/>
    <x v="1"/>
    <x v="2"/>
    <x v="4"/>
    <x v="0"/>
    <x v="1"/>
    <x v="1"/>
    <x v="5"/>
    <x v="1"/>
  </r>
  <r>
    <x v="851"/>
    <x v="6"/>
    <x v="9"/>
    <x v="434"/>
    <n v="264"/>
    <x v="35"/>
    <x v="38"/>
    <x v="2"/>
    <x v="0"/>
    <x v="0"/>
    <x v="0"/>
    <x v="42"/>
    <x v="3"/>
    <x v="5"/>
    <x v="2"/>
  </r>
  <r>
    <x v="852"/>
    <x v="8"/>
    <x v="1"/>
    <x v="268"/>
    <n v="68.2"/>
    <x v="35"/>
    <x v="38"/>
    <x v="1"/>
    <x v="3"/>
    <x v="2"/>
    <x v="0"/>
    <x v="44"/>
    <x v="3"/>
    <x v="5"/>
    <x v="1"/>
  </r>
  <r>
    <x v="853"/>
    <x v="6"/>
    <x v="9"/>
    <x v="562"/>
    <n v="539.5"/>
    <x v="35"/>
    <x v="36"/>
    <x v="2"/>
    <x v="0"/>
    <x v="2"/>
    <x v="0"/>
    <x v="50"/>
    <x v="7"/>
    <x v="5"/>
    <x v="2"/>
  </r>
  <r>
    <x v="854"/>
    <x v="8"/>
    <x v="15"/>
    <x v="286"/>
    <n v="630.5"/>
    <x v="35"/>
    <x v="36"/>
    <x v="1"/>
    <x v="2"/>
    <x v="2"/>
    <x v="0"/>
    <x v="3"/>
    <x v="7"/>
    <x v="5"/>
    <x v="1"/>
  </r>
  <r>
    <x v="855"/>
    <x v="5"/>
    <x v="2"/>
    <x v="267"/>
    <n v="104.10000000000001"/>
    <x v="35"/>
    <x v="38"/>
    <x v="0"/>
    <x v="4"/>
    <x v="1"/>
    <x v="0"/>
    <x v="3"/>
    <x v="3"/>
    <x v="5"/>
    <x v="0"/>
  </r>
  <r>
    <x v="856"/>
    <x v="8"/>
    <x v="0"/>
    <x v="384"/>
    <n v="16.8"/>
    <x v="35"/>
    <x v="31"/>
    <x v="2"/>
    <x v="3"/>
    <x v="0"/>
    <x v="0"/>
    <x v="3"/>
    <x v="1"/>
    <x v="5"/>
    <x v="2"/>
  </r>
  <r>
    <x v="857"/>
    <x v="8"/>
    <x v="13"/>
    <x v="383"/>
    <n v="109.80000000000001"/>
    <x v="35"/>
    <x v="39"/>
    <x v="2"/>
    <x v="0"/>
    <x v="0"/>
    <x v="0"/>
    <x v="3"/>
    <x v="2"/>
    <x v="5"/>
    <x v="2"/>
  </r>
  <r>
    <x v="858"/>
    <x v="18"/>
    <x v="2"/>
    <x v="218"/>
    <n v="167.7"/>
    <x v="35"/>
    <x v="40"/>
    <x v="1"/>
    <x v="3"/>
    <x v="1"/>
    <x v="0"/>
    <x v="3"/>
    <x v="4"/>
    <x v="5"/>
    <x v="1"/>
  </r>
  <r>
    <x v="859"/>
    <x v="8"/>
    <x v="2"/>
    <x v="406"/>
    <n v="117.60000000000001"/>
    <x v="35"/>
    <x v="31"/>
    <x v="2"/>
    <x v="0"/>
    <x v="1"/>
    <x v="0"/>
    <x v="3"/>
    <x v="1"/>
    <x v="5"/>
    <x v="2"/>
  </r>
  <r>
    <x v="860"/>
    <x v="15"/>
    <x v="12"/>
    <x v="563"/>
    <n v="266"/>
    <x v="35"/>
    <x v="31"/>
    <x v="0"/>
    <x v="3"/>
    <x v="1"/>
    <x v="0"/>
    <x v="3"/>
    <x v="1"/>
    <x v="5"/>
    <x v="0"/>
  </r>
  <r>
    <x v="861"/>
    <x v="6"/>
    <x v="13"/>
    <x v="184"/>
    <n v="312.60000000000002"/>
    <x v="35"/>
    <x v="31"/>
    <x v="1"/>
    <x v="1"/>
    <x v="1"/>
    <x v="0"/>
    <x v="16"/>
    <x v="1"/>
    <x v="5"/>
    <x v="1"/>
  </r>
  <r>
    <x v="862"/>
    <x v="8"/>
    <x v="1"/>
    <x v="129"/>
    <n v="38"/>
    <x v="35"/>
    <x v="38"/>
    <x v="1"/>
    <x v="4"/>
    <x v="2"/>
    <x v="0"/>
    <x v="6"/>
    <x v="3"/>
    <x v="5"/>
    <x v="1"/>
  </r>
  <r>
    <x v="863"/>
    <x v="7"/>
    <x v="2"/>
    <x v="564"/>
    <n v="254.39999999999998"/>
    <x v="35"/>
    <x v="31"/>
    <x v="2"/>
    <x v="2"/>
    <x v="0"/>
    <x v="0"/>
    <x v="8"/>
    <x v="1"/>
    <x v="5"/>
    <x v="2"/>
  </r>
  <r>
    <x v="864"/>
    <x v="2"/>
    <x v="12"/>
    <x v="565"/>
    <n v="255.6"/>
    <x v="35"/>
    <x v="39"/>
    <x v="2"/>
    <x v="0"/>
    <x v="0"/>
    <x v="0"/>
    <x v="8"/>
    <x v="2"/>
    <x v="5"/>
    <x v="2"/>
  </r>
  <r>
    <x v="865"/>
    <x v="2"/>
    <x v="2"/>
    <x v="313"/>
    <n v="196.5"/>
    <x v="35"/>
    <x v="36"/>
    <x v="2"/>
    <x v="1"/>
    <x v="1"/>
    <x v="0"/>
    <x v="8"/>
    <x v="7"/>
    <x v="5"/>
    <x v="2"/>
  </r>
  <r>
    <x v="866"/>
    <x v="12"/>
    <x v="1"/>
    <x v="566"/>
    <n v="232.4"/>
    <x v="35"/>
    <x v="40"/>
    <x v="1"/>
    <x v="3"/>
    <x v="0"/>
    <x v="0"/>
    <x v="17"/>
    <x v="4"/>
    <x v="5"/>
    <x v="1"/>
  </r>
  <r>
    <x v="867"/>
    <x v="10"/>
    <x v="12"/>
    <x v="409"/>
    <n v="91.6"/>
    <x v="35"/>
    <x v="31"/>
    <x v="2"/>
    <x v="2"/>
    <x v="1"/>
    <x v="0"/>
    <x v="38"/>
    <x v="1"/>
    <x v="5"/>
    <x v="2"/>
  </r>
  <r>
    <x v="868"/>
    <x v="10"/>
    <x v="2"/>
    <x v="526"/>
    <n v="161.10000000000002"/>
    <x v="35"/>
    <x v="38"/>
    <x v="1"/>
    <x v="0"/>
    <x v="4"/>
    <x v="0"/>
    <x v="18"/>
    <x v="3"/>
    <x v="5"/>
    <x v="1"/>
  </r>
  <r>
    <x v="869"/>
    <x v="6"/>
    <x v="9"/>
    <x v="522"/>
    <n v="216"/>
    <x v="35"/>
    <x v="31"/>
    <x v="2"/>
    <x v="0"/>
    <x v="0"/>
    <x v="0"/>
    <x v="19"/>
    <x v="1"/>
    <x v="5"/>
    <x v="2"/>
  </r>
  <r>
    <x v="870"/>
    <x v="1"/>
    <x v="2"/>
    <x v="100"/>
    <n v="253.5"/>
    <x v="35"/>
    <x v="31"/>
    <x v="1"/>
    <x v="2"/>
    <x v="2"/>
    <x v="0"/>
    <x v="51"/>
    <x v="1"/>
    <x v="5"/>
    <x v="1"/>
  </r>
  <r>
    <x v="871"/>
    <x v="3"/>
    <x v="1"/>
    <x v="567"/>
    <n v="84.4"/>
    <x v="35"/>
    <x v="38"/>
    <x v="2"/>
    <x v="1"/>
    <x v="2"/>
    <x v="0"/>
    <x v="1"/>
    <x v="3"/>
    <x v="5"/>
    <x v="2"/>
  </r>
  <r>
    <x v="872"/>
    <x v="2"/>
    <x v="13"/>
    <x v="568"/>
    <n v="568.20000000000005"/>
    <x v="35"/>
    <x v="39"/>
    <x v="2"/>
    <x v="1"/>
    <x v="2"/>
    <x v="0"/>
    <x v="2"/>
    <x v="2"/>
    <x v="5"/>
    <x v="2"/>
  </r>
  <r>
    <x v="873"/>
    <x v="8"/>
    <x v="16"/>
    <x v="569"/>
    <n v="300.59999999999997"/>
    <x v="35"/>
    <x v="43"/>
    <x v="2"/>
    <x v="0"/>
    <x v="2"/>
    <x v="0"/>
    <x v="2"/>
    <x v="13"/>
    <x v="5"/>
    <x v="2"/>
  </r>
  <r>
    <x v="874"/>
    <x v="2"/>
    <x v="1"/>
    <x v="331"/>
    <n v="167.2"/>
    <x v="35"/>
    <x v="40"/>
    <x v="2"/>
    <x v="1"/>
    <x v="0"/>
    <x v="0"/>
    <x v="3"/>
    <x v="4"/>
    <x v="5"/>
    <x v="2"/>
  </r>
  <r>
    <x v="875"/>
    <x v="7"/>
    <x v="13"/>
    <x v="570"/>
    <n v="201.60000000000002"/>
    <x v="36"/>
    <x v="31"/>
    <x v="2"/>
    <x v="3"/>
    <x v="0"/>
    <x v="0"/>
    <x v="3"/>
    <x v="3"/>
    <x v="5"/>
    <x v="2"/>
  </r>
  <r>
    <x v="876"/>
    <x v="7"/>
    <x v="1"/>
    <x v="337"/>
    <n v="129.4"/>
    <x v="36"/>
    <x v="39"/>
    <x v="1"/>
    <x v="1"/>
    <x v="2"/>
    <x v="0"/>
    <x v="3"/>
    <x v="1"/>
    <x v="5"/>
    <x v="1"/>
  </r>
  <r>
    <x v="877"/>
    <x v="0"/>
    <x v="2"/>
    <x v="137"/>
    <n v="47.099999999999994"/>
    <x v="36"/>
    <x v="44"/>
    <x v="2"/>
    <x v="0"/>
    <x v="0"/>
    <x v="0"/>
    <x v="3"/>
    <x v="4"/>
    <x v="5"/>
    <x v="2"/>
  </r>
  <r>
    <x v="878"/>
    <x v="15"/>
    <x v="13"/>
    <x v="183"/>
    <n v="296.39999999999998"/>
    <x v="36"/>
    <x v="38"/>
    <x v="1"/>
    <x v="1"/>
    <x v="0"/>
    <x v="0"/>
    <x v="3"/>
    <x v="7"/>
    <x v="5"/>
    <x v="1"/>
  </r>
  <r>
    <x v="879"/>
    <x v="10"/>
    <x v="13"/>
    <x v="571"/>
    <n v="222"/>
    <x v="36"/>
    <x v="35"/>
    <x v="2"/>
    <x v="1"/>
    <x v="2"/>
    <x v="0"/>
    <x v="3"/>
    <x v="2"/>
    <x v="5"/>
    <x v="2"/>
  </r>
  <r>
    <x v="880"/>
    <x v="2"/>
    <x v="1"/>
    <x v="371"/>
    <n v="167.4"/>
    <x v="36"/>
    <x v="39"/>
    <x v="2"/>
    <x v="3"/>
    <x v="2"/>
    <x v="0"/>
    <x v="3"/>
    <x v="1"/>
    <x v="5"/>
    <x v="2"/>
  </r>
  <r>
    <x v="881"/>
    <x v="1"/>
    <x v="9"/>
    <x v="334"/>
    <n v="175.5"/>
    <x v="36"/>
    <x v="31"/>
    <x v="2"/>
    <x v="0"/>
    <x v="0"/>
    <x v="0"/>
    <x v="3"/>
    <x v="3"/>
    <x v="5"/>
    <x v="2"/>
  </r>
  <r>
    <x v="882"/>
    <x v="16"/>
    <x v="8"/>
    <x v="326"/>
    <n v="592"/>
    <x v="36"/>
    <x v="31"/>
    <x v="2"/>
    <x v="4"/>
    <x v="0"/>
    <x v="0"/>
    <x v="37"/>
    <x v="3"/>
    <x v="5"/>
    <x v="2"/>
  </r>
  <r>
    <x v="883"/>
    <x v="6"/>
    <x v="25"/>
    <x v="572"/>
    <n v="1332"/>
    <x v="36"/>
    <x v="35"/>
    <x v="1"/>
    <x v="3"/>
    <x v="0"/>
    <x v="0"/>
    <x v="49"/>
    <x v="2"/>
    <x v="5"/>
    <x v="1"/>
  </r>
  <r>
    <x v="884"/>
    <x v="11"/>
    <x v="1"/>
    <x v="400"/>
    <n v="77.8"/>
    <x v="36"/>
    <x v="39"/>
    <x v="2"/>
    <x v="1"/>
    <x v="2"/>
    <x v="0"/>
    <x v="25"/>
    <x v="1"/>
    <x v="5"/>
    <x v="2"/>
  </r>
  <r>
    <x v="885"/>
    <x v="16"/>
    <x v="1"/>
    <x v="554"/>
    <n v="129.19999999999999"/>
    <x v="36"/>
    <x v="45"/>
    <x v="1"/>
    <x v="2"/>
    <x v="1"/>
    <x v="0"/>
    <x v="25"/>
    <x v="6"/>
    <x v="5"/>
    <x v="1"/>
  </r>
  <r>
    <x v="886"/>
    <x v="2"/>
    <x v="2"/>
    <x v="573"/>
    <n v="285.89999999999998"/>
    <x v="36"/>
    <x v="31"/>
    <x v="1"/>
    <x v="0"/>
    <x v="0"/>
    <x v="0"/>
    <x v="5"/>
    <x v="3"/>
    <x v="5"/>
    <x v="1"/>
  </r>
  <r>
    <x v="887"/>
    <x v="13"/>
    <x v="2"/>
    <x v="136"/>
    <n v="77.400000000000006"/>
    <x v="36"/>
    <x v="31"/>
    <x v="2"/>
    <x v="1"/>
    <x v="1"/>
    <x v="0"/>
    <x v="6"/>
    <x v="3"/>
    <x v="5"/>
    <x v="2"/>
  </r>
  <r>
    <x v="888"/>
    <x v="0"/>
    <x v="1"/>
    <x v="463"/>
    <n v="23.2"/>
    <x v="36"/>
    <x v="37"/>
    <x v="2"/>
    <x v="1"/>
    <x v="1"/>
    <x v="0"/>
    <x v="6"/>
    <x v="5"/>
    <x v="5"/>
    <x v="2"/>
  </r>
  <r>
    <x v="889"/>
    <x v="7"/>
    <x v="0"/>
    <x v="574"/>
    <n v="52.3"/>
    <x v="36"/>
    <x v="31"/>
    <x v="2"/>
    <x v="1"/>
    <x v="0"/>
    <x v="0"/>
    <x v="8"/>
    <x v="3"/>
    <x v="5"/>
    <x v="2"/>
  </r>
  <r>
    <x v="890"/>
    <x v="2"/>
    <x v="7"/>
    <x v="575"/>
    <n v="1122"/>
    <x v="36"/>
    <x v="31"/>
    <x v="2"/>
    <x v="1"/>
    <x v="1"/>
    <x v="0"/>
    <x v="8"/>
    <x v="3"/>
    <x v="5"/>
    <x v="2"/>
  </r>
  <r>
    <x v="891"/>
    <x v="4"/>
    <x v="9"/>
    <x v="292"/>
    <n v="173"/>
    <x v="36"/>
    <x v="39"/>
    <x v="1"/>
    <x v="2"/>
    <x v="0"/>
    <x v="0"/>
    <x v="8"/>
    <x v="1"/>
    <x v="5"/>
    <x v="1"/>
  </r>
  <r>
    <x v="892"/>
    <x v="14"/>
    <x v="12"/>
    <x v="260"/>
    <n v="80.400000000000006"/>
    <x v="36"/>
    <x v="44"/>
    <x v="1"/>
    <x v="1"/>
    <x v="2"/>
    <x v="0"/>
    <x v="8"/>
    <x v="4"/>
    <x v="5"/>
    <x v="1"/>
  </r>
  <r>
    <x v="893"/>
    <x v="2"/>
    <x v="12"/>
    <x v="576"/>
    <n v="225.6"/>
    <x v="36"/>
    <x v="39"/>
    <x v="2"/>
    <x v="2"/>
    <x v="0"/>
    <x v="0"/>
    <x v="10"/>
    <x v="1"/>
    <x v="5"/>
    <x v="2"/>
  </r>
  <r>
    <x v="894"/>
    <x v="13"/>
    <x v="11"/>
    <x v="6"/>
    <n v="497.7"/>
    <x v="36"/>
    <x v="39"/>
    <x v="2"/>
    <x v="1"/>
    <x v="4"/>
    <x v="0"/>
    <x v="11"/>
    <x v="1"/>
    <x v="5"/>
    <x v="2"/>
  </r>
  <r>
    <x v="895"/>
    <x v="2"/>
    <x v="31"/>
    <x v="577"/>
    <n v="2114"/>
    <x v="36"/>
    <x v="31"/>
    <x v="2"/>
    <x v="0"/>
    <x v="0"/>
    <x v="0"/>
    <x v="11"/>
    <x v="3"/>
    <x v="5"/>
    <x v="2"/>
  </r>
  <r>
    <x v="896"/>
    <x v="8"/>
    <x v="0"/>
    <x v="174"/>
    <n v="23.6"/>
    <x v="36"/>
    <x v="40"/>
    <x v="2"/>
    <x v="0"/>
    <x v="0"/>
    <x v="0"/>
    <x v="19"/>
    <x v="0"/>
    <x v="5"/>
    <x v="2"/>
  </r>
  <r>
    <x v="897"/>
    <x v="9"/>
    <x v="1"/>
    <x v="578"/>
    <n v="141.4"/>
    <x v="36"/>
    <x v="39"/>
    <x v="2"/>
    <x v="2"/>
    <x v="0"/>
    <x v="0"/>
    <x v="19"/>
    <x v="1"/>
    <x v="5"/>
    <x v="2"/>
  </r>
  <r>
    <x v="898"/>
    <x v="12"/>
    <x v="1"/>
    <x v="522"/>
    <n v="86.4"/>
    <x v="36"/>
    <x v="31"/>
    <x v="2"/>
    <x v="2"/>
    <x v="0"/>
    <x v="0"/>
    <x v="31"/>
    <x v="3"/>
    <x v="5"/>
    <x v="2"/>
  </r>
  <r>
    <x v="899"/>
    <x v="9"/>
    <x v="11"/>
    <x v="579"/>
    <n v="630"/>
    <x v="36"/>
    <x v="31"/>
    <x v="0"/>
    <x v="1"/>
    <x v="0"/>
    <x v="0"/>
    <x v="52"/>
    <x v="3"/>
    <x v="5"/>
    <x v="0"/>
  </r>
  <r>
    <x v="900"/>
    <x v="0"/>
    <x v="1"/>
    <x v="580"/>
    <n v="41"/>
    <x v="36"/>
    <x v="39"/>
    <x v="2"/>
    <x v="2"/>
    <x v="4"/>
    <x v="0"/>
    <x v="13"/>
    <x v="1"/>
    <x v="5"/>
    <x v="2"/>
  </r>
  <r>
    <x v="901"/>
    <x v="0"/>
    <x v="12"/>
    <x v="581"/>
    <n v="116.4"/>
    <x v="36"/>
    <x v="31"/>
    <x v="2"/>
    <x v="3"/>
    <x v="0"/>
    <x v="0"/>
    <x v="28"/>
    <x v="3"/>
    <x v="5"/>
    <x v="2"/>
  </r>
  <r>
    <x v="902"/>
    <x v="6"/>
    <x v="11"/>
    <x v="582"/>
    <n v="482.40000000000003"/>
    <x v="36"/>
    <x v="31"/>
    <x v="1"/>
    <x v="2"/>
    <x v="1"/>
    <x v="0"/>
    <x v="3"/>
    <x v="3"/>
    <x v="5"/>
    <x v="1"/>
  </r>
  <r>
    <x v="903"/>
    <x v="6"/>
    <x v="9"/>
    <x v="583"/>
    <n v="361.5"/>
    <x v="36"/>
    <x v="39"/>
    <x v="2"/>
    <x v="1"/>
    <x v="0"/>
    <x v="0"/>
    <x v="3"/>
    <x v="1"/>
    <x v="5"/>
    <x v="2"/>
  </r>
  <r>
    <x v="904"/>
    <x v="13"/>
    <x v="12"/>
    <x v="351"/>
    <n v="90.4"/>
    <x v="36"/>
    <x v="35"/>
    <x v="3"/>
    <x v="0"/>
    <x v="1"/>
    <x v="0"/>
    <x v="3"/>
    <x v="2"/>
    <x v="5"/>
    <x v="3"/>
  </r>
  <r>
    <x v="905"/>
    <x v="9"/>
    <x v="1"/>
    <x v="236"/>
    <n v="88.4"/>
    <x v="36"/>
    <x v="37"/>
    <x v="0"/>
    <x v="2"/>
    <x v="4"/>
    <x v="0"/>
    <x v="3"/>
    <x v="5"/>
    <x v="5"/>
    <x v="0"/>
  </r>
  <r>
    <x v="906"/>
    <x v="9"/>
    <x v="2"/>
    <x v="252"/>
    <n v="282.29999999999995"/>
    <x v="36"/>
    <x v="46"/>
    <x v="2"/>
    <x v="2"/>
    <x v="2"/>
    <x v="0"/>
    <x v="3"/>
    <x v="10"/>
    <x v="5"/>
    <x v="2"/>
  </r>
  <r>
    <x v="907"/>
    <x v="8"/>
    <x v="2"/>
    <x v="71"/>
    <n v="53.699999999999996"/>
    <x v="36"/>
    <x v="39"/>
    <x v="1"/>
    <x v="1"/>
    <x v="1"/>
    <x v="0"/>
    <x v="3"/>
    <x v="1"/>
    <x v="5"/>
    <x v="1"/>
  </r>
  <r>
    <x v="908"/>
    <x v="12"/>
    <x v="3"/>
    <x v="119"/>
    <n v="368.90000000000003"/>
    <x v="36"/>
    <x v="31"/>
    <x v="1"/>
    <x v="1"/>
    <x v="1"/>
    <x v="0"/>
    <x v="3"/>
    <x v="3"/>
    <x v="5"/>
    <x v="1"/>
  </r>
  <r>
    <x v="909"/>
    <x v="8"/>
    <x v="0"/>
    <x v="78"/>
    <n v="36.799999999999997"/>
    <x v="36"/>
    <x v="38"/>
    <x v="0"/>
    <x v="0"/>
    <x v="2"/>
    <x v="0"/>
    <x v="3"/>
    <x v="7"/>
    <x v="5"/>
    <x v="0"/>
  </r>
  <r>
    <x v="910"/>
    <x v="4"/>
    <x v="0"/>
    <x v="166"/>
    <n v="52.5"/>
    <x v="36"/>
    <x v="31"/>
    <x v="1"/>
    <x v="0"/>
    <x v="1"/>
    <x v="0"/>
    <x v="6"/>
    <x v="3"/>
    <x v="5"/>
    <x v="1"/>
  </r>
  <r>
    <x v="911"/>
    <x v="2"/>
    <x v="1"/>
    <x v="584"/>
    <n v="267.60000000000002"/>
    <x v="36"/>
    <x v="39"/>
    <x v="1"/>
    <x v="0"/>
    <x v="1"/>
    <x v="0"/>
    <x v="7"/>
    <x v="1"/>
    <x v="5"/>
    <x v="1"/>
  </r>
  <r>
    <x v="912"/>
    <x v="6"/>
    <x v="1"/>
    <x v="459"/>
    <n v="106.4"/>
    <x v="36"/>
    <x v="39"/>
    <x v="1"/>
    <x v="0"/>
    <x v="0"/>
    <x v="0"/>
    <x v="17"/>
    <x v="1"/>
    <x v="5"/>
    <x v="1"/>
  </r>
  <r>
    <x v="913"/>
    <x v="14"/>
    <x v="13"/>
    <x v="585"/>
    <n v="112.19999999999999"/>
    <x v="36"/>
    <x v="39"/>
    <x v="0"/>
    <x v="0"/>
    <x v="1"/>
    <x v="0"/>
    <x v="10"/>
    <x v="1"/>
    <x v="5"/>
    <x v="0"/>
  </r>
  <r>
    <x v="914"/>
    <x v="6"/>
    <x v="12"/>
    <x v="586"/>
    <n v="435.2"/>
    <x v="36"/>
    <x v="31"/>
    <x v="2"/>
    <x v="3"/>
    <x v="2"/>
    <x v="0"/>
    <x v="11"/>
    <x v="3"/>
    <x v="5"/>
    <x v="2"/>
  </r>
  <r>
    <x v="915"/>
    <x v="15"/>
    <x v="9"/>
    <x v="153"/>
    <n v="192.5"/>
    <x v="36"/>
    <x v="37"/>
    <x v="2"/>
    <x v="0"/>
    <x v="1"/>
    <x v="0"/>
    <x v="14"/>
    <x v="5"/>
    <x v="5"/>
    <x v="2"/>
  </r>
  <r>
    <x v="916"/>
    <x v="10"/>
    <x v="7"/>
    <x v="587"/>
    <n v="465"/>
    <x v="36"/>
    <x v="39"/>
    <x v="1"/>
    <x v="2"/>
    <x v="1"/>
    <x v="0"/>
    <x v="2"/>
    <x v="1"/>
    <x v="5"/>
    <x v="1"/>
  </r>
  <r>
    <x v="917"/>
    <x v="2"/>
    <x v="2"/>
    <x v="124"/>
    <n v="227.39999999999998"/>
    <x v="36"/>
    <x v="37"/>
    <x v="2"/>
    <x v="1"/>
    <x v="4"/>
    <x v="0"/>
    <x v="44"/>
    <x v="5"/>
    <x v="5"/>
    <x v="2"/>
  </r>
  <r>
    <x v="918"/>
    <x v="8"/>
    <x v="0"/>
    <x v="588"/>
    <n v="20.9"/>
    <x v="36"/>
    <x v="37"/>
    <x v="1"/>
    <x v="0"/>
    <x v="0"/>
    <x v="0"/>
    <x v="22"/>
    <x v="5"/>
    <x v="5"/>
    <x v="1"/>
  </r>
  <r>
    <x v="919"/>
    <x v="18"/>
    <x v="2"/>
    <x v="68"/>
    <n v="142.19999999999999"/>
    <x v="36"/>
    <x v="35"/>
    <x v="2"/>
    <x v="0"/>
    <x v="0"/>
    <x v="0"/>
    <x v="3"/>
    <x v="2"/>
    <x v="5"/>
    <x v="2"/>
  </r>
  <r>
    <x v="920"/>
    <x v="9"/>
    <x v="1"/>
    <x v="589"/>
    <n v="107.6"/>
    <x v="36"/>
    <x v="31"/>
    <x v="0"/>
    <x v="0"/>
    <x v="1"/>
    <x v="0"/>
    <x v="3"/>
    <x v="3"/>
    <x v="5"/>
    <x v="0"/>
  </r>
  <r>
    <x v="921"/>
    <x v="8"/>
    <x v="2"/>
    <x v="362"/>
    <n v="73.800000000000011"/>
    <x v="36"/>
    <x v="39"/>
    <x v="3"/>
    <x v="1"/>
    <x v="2"/>
    <x v="0"/>
    <x v="3"/>
    <x v="1"/>
    <x v="5"/>
    <x v="3"/>
  </r>
  <r>
    <x v="922"/>
    <x v="9"/>
    <x v="2"/>
    <x v="45"/>
    <n v="212.70000000000002"/>
    <x v="36"/>
    <x v="40"/>
    <x v="2"/>
    <x v="2"/>
    <x v="2"/>
    <x v="0"/>
    <x v="3"/>
    <x v="0"/>
    <x v="5"/>
    <x v="2"/>
  </r>
  <r>
    <x v="923"/>
    <x v="17"/>
    <x v="2"/>
    <x v="590"/>
    <n v="95.699999999999989"/>
    <x v="36"/>
    <x v="39"/>
    <x v="2"/>
    <x v="2"/>
    <x v="2"/>
    <x v="0"/>
    <x v="3"/>
    <x v="1"/>
    <x v="5"/>
    <x v="2"/>
  </r>
  <r>
    <x v="924"/>
    <x v="0"/>
    <x v="1"/>
    <x v="293"/>
    <n v="40.799999999999997"/>
    <x v="36"/>
    <x v="37"/>
    <x v="1"/>
    <x v="3"/>
    <x v="2"/>
    <x v="0"/>
    <x v="3"/>
    <x v="5"/>
    <x v="5"/>
    <x v="1"/>
  </r>
  <r>
    <x v="925"/>
    <x v="8"/>
    <x v="1"/>
    <x v="465"/>
    <n v="37.200000000000003"/>
    <x v="36"/>
    <x v="39"/>
    <x v="0"/>
    <x v="0"/>
    <x v="1"/>
    <x v="0"/>
    <x v="3"/>
    <x v="1"/>
    <x v="5"/>
    <x v="0"/>
  </r>
  <r>
    <x v="926"/>
    <x v="4"/>
    <x v="9"/>
    <x v="591"/>
    <n v="241.5"/>
    <x v="36"/>
    <x v="39"/>
    <x v="2"/>
    <x v="1"/>
    <x v="0"/>
    <x v="0"/>
    <x v="3"/>
    <x v="1"/>
    <x v="5"/>
    <x v="2"/>
  </r>
  <r>
    <x v="927"/>
    <x v="0"/>
    <x v="12"/>
    <x v="389"/>
    <n v="110.8"/>
    <x v="36"/>
    <x v="39"/>
    <x v="2"/>
    <x v="0"/>
    <x v="0"/>
    <x v="0"/>
    <x v="3"/>
    <x v="1"/>
    <x v="5"/>
    <x v="2"/>
  </r>
  <r>
    <x v="928"/>
    <x v="4"/>
    <x v="9"/>
    <x v="243"/>
    <n v="112.5"/>
    <x v="36"/>
    <x v="39"/>
    <x v="2"/>
    <x v="4"/>
    <x v="2"/>
    <x v="0"/>
    <x v="3"/>
    <x v="1"/>
    <x v="5"/>
    <x v="2"/>
  </r>
  <r>
    <x v="929"/>
    <x v="17"/>
    <x v="9"/>
    <x v="592"/>
    <n v="108"/>
    <x v="36"/>
    <x v="42"/>
    <x v="2"/>
    <x v="0"/>
    <x v="1"/>
    <x v="0"/>
    <x v="3"/>
    <x v="9"/>
    <x v="5"/>
    <x v="2"/>
  </r>
  <r>
    <x v="930"/>
    <x v="10"/>
    <x v="3"/>
    <x v="133"/>
    <n v="184.1"/>
    <x v="36"/>
    <x v="38"/>
    <x v="2"/>
    <x v="2"/>
    <x v="1"/>
    <x v="0"/>
    <x v="3"/>
    <x v="7"/>
    <x v="5"/>
    <x v="2"/>
  </r>
  <r>
    <x v="931"/>
    <x v="6"/>
    <x v="3"/>
    <x v="593"/>
    <n v="721"/>
    <x v="37"/>
    <x v="39"/>
    <x v="1"/>
    <x v="0"/>
    <x v="2"/>
    <x v="0"/>
    <x v="6"/>
    <x v="3"/>
    <x v="5"/>
    <x v="1"/>
  </r>
  <r>
    <x v="932"/>
    <x v="5"/>
    <x v="20"/>
    <x v="594"/>
    <n v="699"/>
    <x v="37"/>
    <x v="39"/>
    <x v="2"/>
    <x v="0"/>
    <x v="1"/>
    <x v="0"/>
    <x v="6"/>
    <x v="3"/>
    <x v="5"/>
    <x v="2"/>
  </r>
  <r>
    <x v="933"/>
    <x v="0"/>
    <x v="9"/>
    <x v="380"/>
    <n v="161"/>
    <x v="37"/>
    <x v="37"/>
    <x v="2"/>
    <x v="0"/>
    <x v="2"/>
    <x v="0"/>
    <x v="36"/>
    <x v="2"/>
    <x v="5"/>
    <x v="2"/>
  </r>
  <r>
    <x v="934"/>
    <x v="8"/>
    <x v="2"/>
    <x v="595"/>
    <n v="66"/>
    <x v="37"/>
    <x v="42"/>
    <x v="1"/>
    <x v="1"/>
    <x v="0"/>
    <x v="0"/>
    <x v="7"/>
    <x v="6"/>
    <x v="5"/>
    <x v="1"/>
  </r>
  <r>
    <x v="935"/>
    <x v="0"/>
    <x v="1"/>
    <x v="19"/>
    <n v="50.4"/>
    <x v="37"/>
    <x v="40"/>
    <x v="2"/>
    <x v="0"/>
    <x v="0"/>
    <x v="0"/>
    <x v="7"/>
    <x v="5"/>
    <x v="5"/>
    <x v="2"/>
  </r>
  <r>
    <x v="936"/>
    <x v="1"/>
    <x v="13"/>
    <x v="596"/>
    <n v="412.20000000000005"/>
    <x v="37"/>
    <x v="35"/>
    <x v="1"/>
    <x v="4"/>
    <x v="0"/>
    <x v="0"/>
    <x v="8"/>
    <x v="1"/>
    <x v="5"/>
    <x v="1"/>
  </r>
  <r>
    <x v="937"/>
    <x v="0"/>
    <x v="2"/>
    <x v="597"/>
    <n v="66.599999999999994"/>
    <x v="37"/>
    <x v="37"/>
    <x v="1"/>
    <x v="2"/>
    <x v="2"/>
    <x v="0"/>
    <x v="8"/>
    <x v="2"/>
    <x v="5"/>
    <x v="1"/>
  </r>
  <r>
    <x v="938"/>
    <x v="1"/>
    <x v="3"/>
    <x v="307"/>
    <n v="252"/>
    <x v="37"/>
    <x v="39"/>
    <x v="2"/>
    <x v="1"/>
    <x v="0"/>
    <x v="0"/>
    <x v="8"/>
    <x v="3"/>
    <x v="5"/>
    <x v="2"/>
  </r>
  <r>
    <x v="939"/>
    <x v="18"/>
    <x v="0"/>
    <x v="79"/>
    <n v="50.6"/>
    <x v="37"/>
    <x v="35"/>
    <x v="2"/>
    <x v="0"/>
    <x v="1"/>
    <x v="0"/>
    <x v="8"/>
    <x v="1"/>
    <x v="5"/>
    <x v="2"/>
  </r>
  <r>
    <x v="940"/>
    <x v="15"/>
    <x v="1"/>
    <x v="125"/>
    <n v="89.8"/>
    <x v="37"/>
    <x v="35"/>
    <x v="1"/>
    <x v="0"/>
    <x v="1"/>
    <x v="0"/>
    <x v="8"/>
    <x v="1"/>
    <x v="5"/>
    <x v="1"/>
  </r>
  <r>
    <x v="941"/>
    <x v="6"/>
    <x v="2"/>
    <x v="598"/>
    <n v="214.79999999999998"/>
    <x v="37"/>
    <x v="40"/>
    <x v="1"/>
    <x v="1"/>
    <x v="2"/>
    <x v="0"/>
    <x v="10"/>
    <x v="5"/>
    <x v="5"/>
    <x v="1"/>
  </r>
  <r>
    <x v="942"/>
    <x v="6"/>
    <x v="13"/>
    <x v="599"/>
    <n v="309"/>
    <x v="37"/>
    <x v="35"/>
    <x v="0"/>
    <x v="4"/>
    <x v="0"/>
    <x v="0"/>
    <x v="11"/>
    <x v="1"/>
    <x v="5"/>
    <x v="0"/>
  </r>
  <r>
    <x v="943"/>
    <x v="7"/>
    <x v="9"/>
    <x v="572"/>
    <n v="277.5"/>
    <x v="37"/>
    <x v="39"/>
    <x v="1"/>
    <x v="1"/>
    <x v="1"/>
    <x v="0"/>
    <x v="11"/>
    <x v="3"/>
    <x v="5"/>
    <x v="1"/>
  </r>
  <r>
    <x v="944"/>
    <x v="6"/>
    <x v="0"/>
    <x v="309"/>
    <n v="51.7"/>
    <x v="37"/>
    <x v="47"/>
    <x v="1"/>
    <x v="2"/>
    <x v="0"/>
    <x v="0"/>
    <x v="19"/>
    <x v="12"/>
    <x v="5"/>
    <x v="1"/>
  </r>
  <r>
    <x v="945"/>
    <x v="8"/>
    <x v="38"/>
    <x v="600"/>
    <n v="955.5"/>
    <x v="37"/>
    <x v="39"/>
    <x v="2"/>
    <x v="3"/>
    <x v="2"/>
    <x v="0"/>
    <x v="19"/>
    <x v="3"/>
    <x v="5"/>
    <x v="2"/>
  </r>
  <r>
    <x v="946"/>
    <x v="8"/>
    <x v="1"/>
    <x v="601"/>
    <n v="67.599999999999994"/>
    <x v="37"/>
    <x v="45"/>
    <x v="2"/>
    <x v="3"/>
    <x v="0"/>
    <x v="0"/>
    <x v="20"/>
    <x v="4"/>
    <x v="5"/>
    <x v="2"/>
  </r>
  <r>
    <x v="947"/>
    <x v="3"/>
    <x v="2"/>
    <x v="107"/>
    <n v="229.5"/>
    <x v="37"/>
    <x v="39"/>
    <x v="2"/>
    <x v="0"/>
    <x v="1"/>
    <x v="0"/>
    <x v="21"/>
    <x v="3"/>
    <x v="5"/>
    <x v="2"/>
  </r>
  <r>
    <x v="948"/>
    <x v="9"/>
    <x v="2"/>
    <x v="325"/>
    <n v="127.80000000000001"/>
    <x v="37"/>
    <x v="45"/>
    <x v="2"/>
    <x v="2"/>
    <x v="2"/>
    <x v="0"/>
    <x v="2"/>
    <x v="4"/>
    <x v="5"/>
    <x v="2"/>
  </r>
  <r>
    <x v="949"/>
    <x v="6"/>
    <x v="2"/>
    <x v="369"/>
    <n v="132.30000000000001"/>
    <x v="37"/>
    <x v="35"/>
    <x v="2"/>
    <x v="1"/>
    <x v="1"/>
    <x v="0"/>
    <x v="22"/>
    <x v="1"/>
    <x v="5"/>
    <x v="2"/>
  </r>
  <r>
    <x v="950"/>
    <x v="8"/>
    <x v="1"/>
    <x v="446"/>
    <n v="81.8"/>
    <x v="37"/>
    <x v="40"/>
    <x v="1"/>
    <x v="0"/>
    <x v="0"/>
    <x v="0"/>
    <x v="3"/>
    <x v="5"/>
    <x v="5"/>
    <x v="1"/>
  </r>
  <r>
    <x v="951"/>
    <x v="9"/>
    <x v="2"/>
    <x v="182"/>
    <n v="147.30000000000001"/>
    <x v="37"/>
    <x v="40"/>
    <x v="2"/>
    <x v="3"/>
    <x v="1"/>
    <x v="0"/>
    <x v="3"/>
    <x v="5"/>
    <x v="5"/>
    <x v="2"/>
  </r>
  <r>
    <x v="952"/>
    <x v="18"/>
    <x v="0"/>
    <x v="602"/>
    <n v="85.3"/>
    <x v="37"/>
    <x v="40"/>
    <x v="1"/>
    <x v="1"/>
    <x v="1"/>
    <x v="0"/>
    <x v="3"/>
    <x v="5"/>
    <x v="5"/>
    <x v="1"/>
  </r>
  <r>
    <x v="953"/>
    <x v="6"/>
    <x v="12"/>
    <x v="39"/>
    <n v="172.4"/>
    <x v="38"/>
    <x v="40"/>
    <x v="1"/>
    <x v="0"/>
    <x v="0"/>
    <x v="0"/>
    <x v="3"/>
    <x v="2"/>
    <x v="5"/>
    <x v="1"/>
  </r>
  <r>
    <x v="954"/>
    <x v="4"/>
    <x v="12"/>
    <x v="193"/>
    <n v="184.8"/>
    <x v="38"/>
    <x v="35"/>
    <x v="1"/>
    <x v="2"/>
    <x v="0"/>
    <x v="0"/>
    <x v="3"/>
    <x v="3"/>
    <x v="5"/>
    <x v="1"/>
  </r>
  <r>
    <x v="955"/>
    <x v="1"/>
    <x v="0"/>
    <x v="603"/>
    <n v="74.400000000000006"/>
    <x v="38"/>
    <x v="37"/>
    <x v="1"/>
    <x v="4"/>
    <x v="2"/>
    <x v="0"/>
    <x v="3"/>
    <x v="1"/>
    <x v="5"/>
    <x v="1"/>
  </r>
  <r>
    <x v="956"/>
    <x v="17"/>
    <x v="1"/>
    <x v="440"/>
    <n v="102.4"/>
    <x v="38"/>
    <x v="35"/>
    <x v="1"/>
    <x v="1"/>
    <x v="0"/>
    <x v="0"/>
    <x v="3"/>
    <x v="3"/>
    <x v="5"/>
    <x v="1"/>
  </r>
  <r>
    <x v="957"/>
    <x v="14"/>
    <x v="12"/>
    <x v="604"/>
    <n v="47.2"/>
    <x v="38"/>
    <x v="39"/>
    <x v="1"/>
    <x v="2"/>
    <x v="0"/>
    <x v="0"/>
    <x v="3"/>
    <x v="7"/>
    <x v="5"/>
    <x v="1"/>
  </r>
  <r>
    <x v="958"/>
    <x v="10"/>
    <x v="6"/>
    <x v="363"/>
    <n v="1101.5999999999999"/>
    <x v="38"/>
    <x v="35"/>
    <x v="2"/>
    <x v="3"/>
    <x v="2"/>
    <x v="0"/>
    <x v="3"/>
    <x v="3"/>
    <x v="5"/>
    <x v="2"/>
  </r>
  <r>
    <x v="959"/>
    <x v="8"/>
    <x v="0"/>
    <x v="605"/>
    <n v="24.7"/>
    <x v="38"/>
    <x v="37"/>
    <x v="2"/>
    <x v="2"/>
    <x v="1"/>
    <x v="0"/>
    <x v="3"/>
    <x v="1"/>
    <x v="5"/>
    <x v="2"/>
  </r>
  <r>
    <x v="960"/>
    <x v="8"/>
    <x v="3"/>
    <x v="237"/>
    <n v="154.70000000000002"/>
    <x v="38"/>
    <x v="39"/>
    <x v="2"/>
    <x v="2"/>
    <x v="4"/>
    <x v="0"/>
    <x v="3"/>
    <x v="7"/>
    <x v="5"/>
    <x v="2"/>
  </r>
  <r>
    <x v="961"/>
    <x v="8"/>
    <x v="0"/>
    <x v="606"/>
    <n v="18.100000000000001"/>
    <x v="38"/>
    <x v="44"/>
    <x v="1"/>
    <x v="3"/>
    <x v="2"/>
    <x v="0"/>
    <x v="3"/>
    <x v="5"/>
    <x v="5"/>
    <x v="1"/>
  </r>
  <r>
    <x v="962"/>
    <x v="17"/>
    <x v="1"/>
    <x v="466"/>
    <n v="117.6"/>
    <x v="38"/>
    <x v="40"/>
    <x v="2"/>
    <x v="0"/>
    <x v="0"/>
    <x v="0"/>
    <x v="25"/>
    <x v="2"/>
    <x v="5"/>
    <x v="2"/>
  </r>
  <r>
    <x v="963"/>
    <x v="18"/>
    <x v="1"/>
    <x v="607"/>
    <n v="61.6"/>
    <x v="38"/>
    <x v="35"/>
    <x v="2"/>
    <x v="0"/>
    <x v="0"/>
    <x v="0"/>
    <x v="6"/>
    <x v="3"/>
    <x v="5"/>
    <x v="2"/>
  </r>
  <r>
    <x v="964"/>
    <x v="0"/>
    <x v="1"/>
    <x v="608"/>
    <n v="24"/>
    <x v="38"/>
    <x v="44"/>
    <x v="2"/>
    <x v="0"/>
    <x v="0"/>
    <x v="0"/>
    <x v="6"/>
    <x v="5"/>
    <x v="5"/>
    <x v="2"/>
  </r>
  <r>
    <x v="965"/>
    <x v="0"/>
    <x v="12"/>
    <x v="609"/>
    <n v="54.4"/>
    <x v="38"/>
    <x v="40"/>
    <x v="1"/>
    <x v="2"/>
    <x v="0"/>
    <x v="0"/>
    <x v="6"/>
    <x v="2"/>
    <x v="5"/>
    <x v="1"/>
  </r>
  <r>
    <x v="966"/>
    <x v="0"/>
    <x v="0"/>
    <x v="71"/>
    <n v="17.899999999999999"/>
    <x v="38"/>
    <x v="35"/>
    <x v="1"/>
    <x v="3"/>
    <x v="0"/>
    <x v="0"/>
    <x v="6"/>
    <x v="3"/>
    <x v="5"/>
    <x v="1"/>
  </r>
  <r>
    <x v="967"/>
    <x v="9"/>
    <x v="1"/>
    <x v="392"/>
    <n v="77.2"/>
    <x v="38"/>
    <x v="44"/>
    <x v="2"/>
    <x v="4"/>
    <x v="0"/>
    <x v="0"/>
    <x v="7"/>
    <x v="5"/>
    <x v="5"/>
    <x v="2"/>
  </r>
  <r>
    <x v="968"/>
    <x v="5"/>
    <x v="9"/>
    <x v="195"/>
    <n v="163.5"/>
    <x v="38"/>
    <x v="35"/>
    <x v="1"/>
    <x v="2"/>
    <x v="2"/>
    <x v="0"/>
    <x v="8"/>
    <x v="3"/>
    <x v="5"/>
    <x v="1"/>
  </r>
  <r>
    <x v="969"/>
    <x v="3"/>
    <x v="1"/>
    <x v="610"/>
    <n v="222.8"/>
    <x v="38"/>
    <x v="35"/>
    <x v="2"/>
    <x v="1"/>
    <x v="0"/>
    <x v="0"/>
    <x v="8"/>
    <x v="3"/>
    <x v="5"/>
    <x v="2"/>
  </r>
  <r>
    <x v="970"/>
    <x v="2"/>
    <x v="13"/>
    <x v="611"/>
    <n v="481.79999999999995"/>
    <x v="38"/>
    <x v="37"/>
    <x v="2"/>
    <x v="1"/>
    <x v="0"/>
    <x v="0"/>
    <x v="8"/>
    <x v="1"/>
    <x v="5"/>
    <x v="2"/>
  </r>
  <r>
    <x v="971"/>
    <x v="6"/>
    <x v="1"/>
    <x v="395"/>
    <n v="117.8"/>
    <x v="38"/>
    <x v="35"/>
    <x v="1"/>
    <x v="1"/>
    <x v="0"/>
    <x v="0"/>
    <x v="8"/>
    <x v="3"/>
    <x v="5"/>
    <x v="1"/>
  </r>
  <r>
    <x v="972"/>
    <x v="6"/>
    <x v="2"/>
    <x v="424"/>
    <n v="155.69999999999999"/>
    <x v="38"/>
    <x v="37"/>
    <x v="2"/>
    <x v="1"/>
    <x v="4"/>
    <x v="0"/>
    <x v="8"/>
    <x v="1"/>
    <x v="5"/>
    <x v="2"/>
  </r>
  <r>
    <x v="973"/>
    <x v="2"/>
    <x v="2"/>
    <x v="612"/>
    <n v="150.89999999999998"/>
    <x v="38"/>
    <x v="35"/>
    <x v="1"/>
    <x v="2"/>
    <x v="0"/>
    <x v="0"/>
    <x v="17"/>
    <x v="3"/>
    <x v="5"/>
    <x v="1"/>
  </r>
  <r>
    <x v="974"/>
    <x v="11"/>
    <x v="13"/>
    <x v="303"/>
    <n v="270"/>
    <x v="38"/>
    <x v="42"/>
    <x v="2"/>
    <x v="3"/>
    <x v="0"/>
    <x v="0"/>
    <x v="9"/>
    <x v="4"/>
    <x v="5"/>
    <x v="2"/>
  </r>
  <r>
    <x v="975"/>
    <x v="10"/>
    <x v="13"/>
    <x v="613"/>
    <n v="268.20000000000005"/>
    <x v="38"/>
    <x v="37"/>
    <x v="2"/>
    <x v="2"/>
    <x v="0"/>
    <x v="0"/>
    <x v="11"/>
    <x v="1"/>
    <x v="5"/>
    <x v="2"/>
  </r>
  <r>
    <x v="976"/>
    <x v="18"/>
    <x v="20"/>
    <x v="614"/>
    <n v="495"/>
    <x v="38"/>
    <x v="35"/>
    <x v="2"/>
    <x v="2"/>
    <x v="0"/>
    <x v="0"/>
    <x v="11"/>
    <x v="3"/>
    <x v="5"/>
    <x v="2"/>
  </r>
  <r>
    <x v="977"/>
    <x v="1"/>
    <x v="9"/>
    <x v="125"/>
    <n v="224.5"/>
    <x v="38"/>
    <x v="40"/>
    <x v="2"/>
    <x v="2"/>
    <x v="2"/>
    <x v="0"/>
    <x v="18"/>
    <x v="2"/>
    <x v="5"/>
    <x v="2"/>
  </r>
  <r>
    <x v="978"/>
    <x v="10"/>
    <x v="1"/>
    <x v="292"/>
    <n v="69.2"/>
    <x v="38"/>
    <x v="44"/>
    <x v="2"/>
    <x v="0"/>
    <x v="1"/>
    <x v="0"/>
    <x v="19"/>
    <x v="5"/>
    <x v="5"/>
    <x v="2"/>
  </r>
  <r>
    <x v="979"/>
    <x v="7"/>
    <x v="3"/>
    <x v="344"/>
    <n v="329.7"/>
    <x v="38"/>
    <x v="45"/>
    <x v="2"/>
    <x v="0"/>
    <x v="0"/>
    <x v="0"/>
    <x v="13"/>
    <x v="0"/>
    <x v="5"/>
    <x v="2"/>
  </r>
  <r>
    <x v="980"/>
    <x v="4"/>
    <x v="9"/>
    <x v="615"/>
    <n v="130.5"/>
    <x v="38"/>
    <x v="45"/>
    <x v="1"/>
    <x v="0"/>
    <x v="2"/>
    <x v="0"/>
    <x v="21"/>
    <x v="0"/>
    <x v="5"/>
    <x v="1"/>
  </r>
  <r>
    <x v="981"/>
    <x v="12"/>
    <x v="9"/>
    <x v="114"/>
    <n v="334"/>
    <x v="38"/>
    <x v="40"/>
    <x v="2"/>
    <x v="0"/>
    <x v="0"/>
    <x v="0"/>
    <x v="21"/>
    <x v="2"/>
    <x v="5"/>
    <x v="2"/>
  </r>
  <r>
    <x v="982"/>
    <x v="2"/>
    <x v="1"/>
    <x v="616"/>
    <n v="335.8"/>
    <x v="38"/>
    <x v="35"/>
    <x v="2"/>
    <x v="3"/>
    <x v="2"/>
    <x v="0"/>
    <x v="21"/>
    <x v="3"/>
    <x v="5"/>
    <x v="2"/>
  </r>
  <r>
    <x v="983"/>
    <x v="10"/>
    <x v="11"/>
    <x v="292"/>
    <n v="311.40000000000003"/>
    <x v="38"/>
    <x v="35"/>
    <x v="2"/>
    <x v="2"/>
    <x v="1"/>
    <x v="0"/>
    <x v="21"/>
    <x v="3"/>
    <x v="5"/>
    <x v="2"/>
  </r>
  <r>
    <x v="984"/>
    <x v="8"/>
    <x v="2"/>
    <x v="334"/>
    <n v="105.30000000000001"/>
    <x v="39"/>
    <x v="45"/>
    <x v="1"/>
    <x v="4"/>
    <x v="2"/>
    <x v="0"/>
    <x v="1"/>
    <x v="5"/>
    <x v="6"/>
    <x v="1"/>
  </r>
  <r>
    <x v="985"/>
    <x v="6"/>
    <x v="12"/>
    <x v="617"/>
    <n v="418"/>
    <x v="39"/>
    <x v="37"/>
    <x v="1"/>
    <x v="1"/>
    <x v="1"/>
    <x v="0"/>
    <x v="1"/>
    <x v="3"/>
    <x v="6"/>
    <x v="1"/>
  </r>
  <r>
    <x v="986"/>
    <x v="8"/>
    <x v="0"/>
    <x v="430"/>
    <n v="37.9"/>
    <x v="39"/>
    <x v="40"/>
    <x v="0"/>
    <x v="1"/>
    <x v="2"/>
    <x v="0"/>
    <x v="2"/>
    <x v="1"/>
    <x v="6"/>
    <x v="0"/>
  </r>
  <r>
    <x v="987"/>
    <x v="4"/>
    <x v="2"/>
    <x v="423"/>
    <n v="76.5"/>
    <x v="39"/>
    <x v="44"/>
    <x v="1"/>
    <x v="3"/>
    <x v="0"/>
    <x v="0"/>
    <x v="2"/>
    <x v="2"/>
    <x v="6"/>
    <x v="1"/>
  </r>
  <r>
    <x v="988"/>
    <x v="0"/>
    <x v="2"/>
    <x v="34"/>
    <n v="96"/>
    <x v="39"/>
    <x v="45"/>
    <x v="2"/>
    <x v="1"/>
    <x v="0"/>
    <x v="0"/>
    <x v="22"/>
    <x v="5"/>
    <x v="6"/>
    <x v="2"/>
  </r>
  <r>
    <x v="989"/>
    <x v="1"/>
    <x v="0"/>
    <x v="344"/>
    <n v="47.1"/>
    <x v="39"/>
    <x v="37"/>
    <x v="2"/>
    <x v="0"/>
    <x v="0"/>
    <x v="0"/>
    <x v="34"/>
    <x v="3"/>
    <x v="6"/>
    <x v="2"/>
  </r>
  <r>
    <x v="990"/>
    <x v="6"/>
    <x v="1"/>
    <x v="79"/>
    <n v="101.2"/>
    <x v="39"/>
    <x v="48"/>
    <x v="0"/>
    <x v="0"/>
    <x v="0"/>
    <x v="0"/>
    <x v="3"/>
    <x v="4"/>
    <x v="6"/>
    <x v="0"/>
  </r>
  <r>
    <x v="991"/>
    <x v="6"/>
    <x v="9"/>
    <x v="521"/>
    <n v="408.5"/>
    <x v="39"/>
    <x v="37"/>
    <x v="2"/>
    <x v="1"/>
    <x v="2"/>
    <x v="0"/>
    <x v="3"/>
    <x v="3"/>
    <x v="6"/>
    <x v="2"/>
  </r>
  <r>
    <x v="992"/>
    <x v="5"/>
    <x v="1"/>
    <x v="155"/>
    <n v="101.4"/>
    <x v="39"/>
    <x v="37"/>
    <x v="3"/>
    <x v="2"/>
    <x v="2"/>
    <x v="0"/>
    <x v="3"/>
    <x v="3"/>
    <x v="6"/>
    <x v="3"/>
  </r>
  <r>
    <x v="993"/>
    <x v="2"/>
    <x v="10"/>
    <x v="618"/>
    <n v="1278.7"/>
    <x v="39"/>
    <x v="45"/>
    <x v="2"/>
    <x v="2"/>
    <x v="0"/>
    <x v="0"/>
    <x v="3"/>
    <x v="5"/>
    <x v="6"/>
    <x v="2"/>
  </r>
  <r>
    <x v="994"/>
    <x v="2"/>
    <x v="12"/>
    <x v="497"/>
    <n v="259.2"/>
    <x v="39"/>
    <x v="44"/>
    <x v="2"/>
    <x v="3"/>
    <x v="0"/>
    <x v="0"/>
    <x v="3"/>
    <x v="2"/>
    <x v="6"/>
    <x v="2"/>
  </r>
  <r>
    <x v="995"/>
    <x v="5"/>
    <x v="32"/>
    <x v="148"/>
    <n v="1348.6"/>
    <x v="39"/>
    <x v="37"/>
    <x v="2"/>
    <x v="0"/>
    <x v="2"/>
    <x v="0"/>
    <x v="3"/>
    <x v="3"/>
    <x v="6"/>
    <x v="2"/>
  </r>
  <r>
    <x v="996"/>
    <x v="14"/>
    <x v="0"/>
    <x v="619"/>
    <n v="32.9"/>
    <x v="39"/>
    <x v="44"/>
    <x v="2"/>
    <x v="4"/>
    <x v="0"/>
    <x v="0"/>
    <x v="3"/>
    <x v="2"/>
    <x v="6"/>
    <x v="2"/>
  </r>
  <r>
    <x v="997"/>
    <x v="6"/>
    <x v="1"/>
    <x v="620"/>
    <n v="201.6"/>
    <x v="39"/>
    <x v="44"/>
    <x v="2"/>
    <x v="0"/>
    <x v="0"/>
    <x v="0"/>
    <x v="3"/>
    <x v="2"/>
    <x v="6"/>
    <x v="2"/>
  </r>
  <r>
    <x v="998"/>
    <x v="8"/>
    <x v="12"/>
    <x v="403"/>
    <n v="100.4"/>
    <x v="39"/>
    <x v="40"/>
    <x v="2"/>
    <x v="1"/>
    <x v="0"/>
    <x v="0"/>
    <x v="3"/>
    <x v="1"/>
    <x v="6"/>
    <x v="2"/>
  </r>
  <r>
    <x v="999"/>
    <x v="17"/>
    <x v="0"/>
    <x v="286"/>
    <n v="48.5"/>
    <x v="39"/>
    <x v="37"/>
    <x v="2"/>
    <x v="0"/>
    <x v="1"/>
    <x v="0"/>
    <x v="3"/>
    <x v="3"/>
    <x v="6"/>
    <x v="2"/>
  </r>
  <r>
    <x v="1000"/>
    <x v="7"/>
    <x v="1"/>
    <x v="570"/>
    <n v="67.2"/>
    <x v="39"/>
    <x v="45"/>
    <x v="2"/>
    <x v="2"/>
    <x v="2"/>
    <x v="0"/>
    <x v="3"/>
    <x v="5"/>
    <x v="6"/>
    <x v="2"/>
  </r>
  <r>
    <x v="1001"/>
    <x v="8"/>
    <x v="0"/>
    <x v="418"/>
    <n v="39.299999999999997"/>
    <x v="39"/>
    <x v="49"/>
    <x v="2"/>
    <x v="1"/>
    <x v="1"/>
    <x v="0"/>
    <x v="49"/>
    <x v="11"/>
    <x v="6"/>
    <x v="2"/>
  </r>
  <r>
    <x v="1002"/>
    <x v="4"/>
    <x v="7"/>
    <x v="126"/>
    <n v="488"/>
    <x v="39"/>
    <x v="40"/>
    <x v="2"/>
    <x v="3"/>
    <x v="1"/>
    <x v="0"/>
    <x v="25"/>
    <x v="1"/>
    <x v="6"/>
    <x v="2"/>
  </r>
  <r>
    <x v="1003"/>
    <x v="6"/>
    <x v="8"/>
    <x v="524"/>
    <n v="582.4"/>
    <x v="39"/>
    <x v="40"/>
    <x v="1"/>
    <x v="1"/>
    <x v="2"/>
    <x v="0"/>
    <x v="5"/>
    <x v="1"/>
    <x v="6"/>
    <x v="1"/>
  </r>
  <r>
    <x v="1004"/>
    <x v="10"/>
    <x v="8"/>
    <x v="193"/>
    <n v="369.6"/>
    <x v="39"/>
    <x v="37"/>
    <x v="1"/>
    <x v="3"/>
    <x v="4"/>
    <x v="0"/>
    <x v="5"/>
    <x v="3"/>
    <x v="6"/>
    <x v="1"/>
  </r>
  <r>
    <x v="1005"/>
    <x v="4"/>
    <x v="1"/>
    <x v="289"/>
    <n v="41.4"/>
    <x v="39"/>
    <x v="37"/>
    <x v="2"/>
    <x v="2"/>
    <x v="3"/>
    <x v="0"/>
    <x v="6"/>
    <x v="3"/>
    <x v="6"/>
    <x v="2"/>
  </r>
  <r>
    <x v="1006"/>
    <x v="0"/>
    <x v="0"/>
    <x v="8"/>
    <n v="35.700000000000003"/>
    <x v="39"/>
    <x v="40"/>
    <x v="2"/>
    <x v="3"/>
    <x v="0"/>
    <x v="0"/>
    <x v="6"/>
    <x v="1"/>
    <x v="6"/>
    <x v="2"/>
  </r>
  <r>
    <x v="1007"/>
    <x v="2"/>
    <x v="27"/>
    <x v="621"/>
    <n v="2659.2"/>
    <x v="39"/>
    <x v="40"/>
    <x v="0"/>
    <x v="2"/>
    <x v="0"/>
    <x v="0"/>
    <x v="7"/>
    <x v="1"/>
    <x v="6"/>
    <x v="0"/>
  </r>
  <r>
    <x v="1008"/>
    <x v="6"/>
    <x v="12"/>
    <x v="449"/>
    <n v="343.2"/>
    <x v="39"/>
    <x v="37"/>
    <x v="2"/>
    <x v="1"/>
    <x v="1"/>
    <x v="0"/>
    <x v="7"/>
    <x v="3"/>
    <x v="6"/>
    <x v="2"/>
  </r>
  <r>
    <x v="1009"/>
    <x v="8"/>
    <x v="2"/>
    <x v="269"/>
    <n v="78"/>
    <x v="39"/>
    <x v="40"/>
    <x v="3"/>
    <x v="1"/>
    <x v="0"/>
    <x v="0"/>
    <x v="7"/>
    <x v="1"/>
    <x v="6"/>
    <x v="3"/>
  </r>
  <r>
    <x v="1010"/>
    <x v="2"/>
    <x v="15"/>
    <x v="622"/>
    <n v="1515.8"/>
    <x v="39"/>
    <x v="44"/>
    <x v="2"/>
    <x v="0"/>
    <x v="0"/>
    <x v="0"/>
    <x v="8"/>
    <x v="2"/>
    <x v="6"/>
    <x v="2"/>
  </r>
  <r>
    <x v="1011"/>
    <x v="9"/>
    <x v="3"/>
    <x v="190"/>
    <n v="377.3"/>
    <x v="39"/>
    <x v="44"/>
    <x v="3"/>
    <x v="0"/>
    <x v="2"/>
    <x v="0"/>
    <x v="8"/>
    <x v="2"/>
    <x v="6"/>
    <x v="3"/>
  </r>
  <r>
    <x v="1012"/>
    <x v="12"/>
    <x v="9"/>
    <x v="583"/>
    <n v="361.5"/>
    <x v="39"/>
    <x v="40"/>
    <x v="0"/>
    <x v="2"/>
    <x v="2"/>
    <x v="0"/>
    <x v="8"/>
    <x v="1"/>
    <x v="6"/>
    <x v="0"/>
  </r>
  <r>
    <x v="1013"/>
    <x v="5"/>
    <x v="1"/>
    <x v="541"/>
    <n v="62.8"/>
    <x v="39"/>
    <x v="40"/>
    <x v="2"/>
    <x v="0"/>
    <x v="0"/>
    <x v="0"/>
    <x v="8"/>
    <x v="1"/>
    <x v="6"/>
    <x v="2"/>
  </r>
  <r>
    <x v="1014"/>
    <x v="13"/>
    <x v="1"/>
    <x v="213"/>
    <n v="106.2"/>
    <x v="39"/>
    <x v="44"/>
    <x v="1"/>
    <x v="1"/>
    <x v="0"/>
    <x v="0"/>
    <x v="8"/>
    <x v="2"/>
    <x v="6"/>
    <x v="1"/>
  </r>
  <r>
    <x v="1015"/>
    <x v="2"/>
    <x v="12"/>
    <x v="623"/>
    <n v="224.8"/>
    <x v="39"/>
    <x v="37"/>
    <x v="2"/>
    <x v="0"/>
    <x v="0"/>
    <x v="0"/>
    <x v="8"/>
    <x v="3"/>
    <x v="6"/>
    <x v="2"/>
  </r>
  <r>
    <x v="1016"/>
    <x v="1"/>
    <x v="7"/>
    <x v="81"/>
    <n v="773"/>
    <x v="39"/>
    <x v="37"/>
    <x v="2"/>
    <x v="2"/>
    <x v="0"/>
    <x v="0"/>
    <x v="11"/>
    <x v="3"/>
    <x v="6"/>
    <x v="2"/>
  </r>
  <r>
    <x v="1017"/>
    <x v="6"/>
    <x v="15"/>
    <x v="211"/>
    <n v="751.4"/>
    <x v="39"/>
    <x v="37"/>
    <x v="0"/>
    <x v="0"/>
    <x v="0"/>
    <x v="0"/>
    <x v="53"/>
    <x v="3"/>
    <x v="6"/>
    <x v="0"/>
  </r>
  <r>
    <x v="1018"/>
    <x v="12"/>
    <x v="20"/>
    <x v="624"/>
    <n v="631.5"/>
    <x v="39"/>
    <x v="40"/>
    <x v="2"/>
    <x v="1"/>
    <x v="1"/>
    <x v="0"/>
    <x v="53"/>
    <x v="1"/>
    <x v="6"/>
    <x v="2"/>
  </r>
  <r>
    <x v="1019"/>
    <x v="8"/>
    <x v="11"/>
    <x v="625"/>
    <n v="205.20000000000002"/>
    <x v="39"/>
    <x v="45"/>
    <x v="1"/>
    <x v="2"/>
    <x v="2"/>
    <x v="0"/>
    <x v="19"/>
    <x v="5"/>
    <x v="6"/>
    <x v="1"/>
  </r>
  <r>
    <x v="1020"/>
    <x v="2"/>
    <x v="2"/>
    <x v="626"/>
    <n v="513.29999999999995"/>
    <x v="40"/>
    <x v="43"/>
    <x v="2"/>
    <x v="2"/>
    <x v="1"/>
    <x v="0"/>
    <x v="19"/>
    <x v="6"/>
    <x v="6"/>
    <x v="2"/>
  </r>
  <r>
    <x v="1021"/>
    <x v="8"/>
    <x v="0"/>
    <x v="627"/>
    <n v="28"/>
    <x v="40"/>
    <x v="44"/>
    <x v="1"/>
    <x v="2"/>
    <x v="2"/>
    <x v="0"/>
    <x v="21"/>
    <x v="1"/>
    <x v="6"/>
    <x v="1"/>
  </r>
  <r>
    <x v="1022"/>
    <x v="6"/>
    <x v="3"/>
    <x v="534"/>
    <n v="351.40000000000003"/>
    <x v="40"/>
    <x v="44"/>
    <x v="1"/>
    <x v="2"/>
    <x v="0"/>
    <x v="0"/>
    <x v="21"/>
    <x v="1"/>
    <x v="6"/>
    <x v="1"/>
  </r>
  <r>
    <x v="1023"/>
    <x v="6"/>
    <x v="1"/>
    <x v="628"/>
    <n v="112"/>
    <x v="40"/>
    <x v="37"/>
    <x v="1"/>
    <x v="0"/>
    <x v="2"/>
    <x v="0"/>
    <x v="22"/>
    <x v="7"/>
    <x v="6"/>
    <x v="1"/>
  </r>
  <r>
    <x v="1024"/>
    <x v="1"/>
    <x v="1"/>
    <x v="629"/>
    <n v="76.599999999999994"/>
    <x v="40"/>
    <x v="40"/>
    <x v="2"/>
    <x v="1"/>
    <x v="0"/>
    <x v="0"/>
    <x v="3"/>
    <x v="3"/>
    <x v="6"/>
    <x v="2"/>
  </r>
  <r>
    <x v="1025"/>
    <x v="0"/>
    <x v="9"/>
    <x v="208"/>
    <n v="111.5"/>
    <x v="40"/>
    <x v="42"/>
    <x v="2"/>
    <x v="2"/>
    <x v="1"/>
    <x v="0"/>
    <x v="3"/>
    <x v="5"/>
    <x v="6"/>
    <x v="2"/>
  </r>
  <r>
    <x v="1026"/>
    <x v="0"/>
    <x v="2"/>
    <x v="208"/>
    <n v="66.900000000000006"/>
    <x v="40"/>
    <x v="45"/>
    <x v="2"/>
    <x v="2"/>
    <x v="0"/>
    <x v="0"/>
    <x v="3"/>
    <x v="2"/>
    <x v="6"/>
    <x v="2"/>
  </r>
  <r>
    <x v="1027"/>
    <x v="1"/>
    <x v="0"/>
    <x v="619"/>
    <n v="32.9"/>
    <x v="40"/>
    <x v="48"/>
    <x v="2"/>
    <x v="0"/>
    <x v="0"/>
    <x v="0"/>
    <x v="3"/>
    <x v="0"/>
    <x v="6"/>
    <x v="2"/>
  </r>
  <r>
    <x v="1028"/>
    <x v="10"/>
    <x v="2"/>
    <x v="590"/>
    <n v="95.699999999999989"/>
    <x v="40"/>
    <x v="48"/>
    <x v="2"/>
    <x v="0"/>
    <x v="0"/>
    <x v="0"/>
    <x v="3"/>
    <x v="0"/>
    <x v="6"/>
    <x v="2"/>
  </r>
  <r>
    <x v="1029"/>
    <x v="6"/>
    <x v="1"/>
    <x v="420"/>
    <n v="188"/>
    <x v="40"/>
    <x v="40"/>
    <x v="1"/>
    <x v="2"/>
    <x v="2"/>
    <x v="0"/>
    <x v="3"/>
    <x v="3"/>
    <x v="6"/>
    <x v="1"/>
  </r>
  <r>
    <x v="1030"/>
    <x v="10"/>
    <x v="1"/>
    <x v="630"/>
    <n v="61.4"/>
    <x v="40"/>
    <x v="40"/>
    <x v="2"/>
    <x v="0"/>
    <x v="1"/>
    <x v="0"/>
    <x v="3"/>
    <x v="3"/>
    <x v="6"/>
    <x v="2"/>
  </r>
  <r>
    <x v="1031"/>
    <x v="5"/>
    <x v="9"/>
    <x v="411"/>
    <n v="452.5"/>
    <x v="40"/>
    <x v="43"/>
    <x v="1"/>
    <x v="0"/>
    <x v="2"/>
    <x v="0"/>
    <x v="3"/>
    <x v="6"/>
    <x v="6"/>
    <x v="1"/>
  </r>
  <r>
    <x v="1032"/>
    <x v="8"/>
    <x v="9"/>
    <x v="631"/>
    <n v="126.5"/>
    <x v="40"/>
    <x v="42"/>
    <x v="2"/>
    <x v="0"/>
    <x v="2"/>
    <x v="0"/>
    <x v="3"/>
    <x v="5"/>
    <x v="6"/>
    <x v="2"/>
  </r>
  <r>
    <x v="1033"/>
    <x v="6"/>
    <x v="2"/>
    <x v="215"/>
    <n v="174.3"/>
    <x v="40"/>
    <x v="42"/>
    <x v="0"/>
    <x v="0"/>
    <x v="2"/>
    <x v="0"/>
    <x v="3"/>
    <x v="5"/>
    <x v="6"/>
    <x v="0"/>
  </r>
  <r>
    <x v="1034"/>
    <x v="2"/>
    <x v="2"/>
    <x v="285"/>
    <n v="224.70000000000002"/>
    <x v="40"/>
    <x v="40"/>
    <x v="2"/>
    <x v="4"/>
    <x v="0"/>
    <x v="0"/>
    <x v="3"/>
    <x v="3"/>
    <x v="6"/>
    <x v="2"/>
  </r>
  <r>
    <x v="1035"/>
    <x v="4"/>
    <x v="1"/>
    <x v="504"/>
    <n v="65"/>
    <x v="40"/>
    <x v="40"/>
    <x v="1"/>
    <x v="2"/>
    <x v="2"/>
    <x v="0"/>
    <x v="43"/>
    <x v="3"/>
    <x v="6"/>
    <x v="1"/>
  </r>
  <r>
    <x v="1036"/>
    <x v="4"/>
    <x v="9"/>
    <x v="205"/>
    <n v="310"/>
    <x v="40"/>
    <x v="40"/>
    <x v="1"/>
    <x v="4"/>
    <x v="2"/>
    <x v="0"/>
    <x v="25"/>
    <x v="3"/>
    <x v="6"/>
    <x v="1"/>
  </r>
  <r>
    <x v="1037"/>
    <x v="13"/>
    <x v="13"/>
    <x v="538"/>
    <n v="173.39999999999998"/>
    <x v="40"/>
    <x v="45"/>
    <x v="2"/>
    <x v="0"/>
    <x v="1"/>
    <x v="0"/>
    <x v="6"/>
    <x v="2"/>
    <x v="6"/>
    <x v="2"/>
  </r>
  <r>
    <x v="1038"/>
    <x v="6"/>
    <x v="8"/>
    <x v="443"/>
    <n v="342.4"/>
    <x v="40"/>
    <x v="44"/>
    <x v="2"/>
    <x v="0"/>
    <x v="2"/>
    <x v="0"/>
    <x v="6"/>
    <x v="1"/>
    <x v="6"/>
    <x v="2"/>
  </r>
  <r>
    <x v="1039"/>
    <x v="8"/>
    <x v="8"/>
    <x v="632"/>
    <n v="315.2"/>
    <x v="40"/>
    <x v="44"/>
    <x v="1"/>
    <x v="0"/>
    <x v="0"/>
    <x v="0"/>
    <x v="36"/>
    <x v="1"/>
    <x v="6"/>
    <x v="1"/>
  </r>
  <r>
    <x v="1040"/>
    <x v="18"/>
    <x v="2"/>
    <x v="633"/>
    <n v="199.20000000000002"/>
    <x v="40"/>
    <x v="40"/>
    <x v="0"/>
    <x v="2"/>
    <x v="1"/>
    <x v="0"/>
    <x v="7"/>
    <x v="3"/>
    <x v="6"/>
    <x v="0"/>
  </r>
  <r>
    <x v="1041"/>
    <x v="17"/>
    <x v="12"/>
    <x v="275"/>
    <n v="143.6"/>
    <x v="40"/>
    <x v="43"/>
    <x v="2"/>
    <x v="1"/>
    <x v="0"/>
    <x v="0"/>
    <x v="7"/>
    <x v="6"/>
    <x v="6"/>
    <x v="2"/>
  </r>
  <r>
    <x v="1042"/>
    <x v="0"/>
    <x v="12"/>
    <x v="436"/>
    <n v="107.6"/>
    <x v="40"/>
    <x v="40"/>
    <x v="1"/>
    <x v="1"/>
    <x v="0"/>
    <x v="0"/>
    <x v="7"/>
    <x v="3"/>
    <x v="6"/>
    <x v="1"/>
  </r>
  <r>
    <x v="1043"/>
    <x v="2"/>
    <x v="0"/>
    <x v="282"/>
    <n v="55.1"/>
    <x v="40"/>
    <x v="40"/>
    <x v="2"/>
    <x v="0"/>
    <x v="0"/>
    <x v="0"/>
    <x v="7"/>
    <x v="3"/>
    <x v="6"/>
    <x v="2"/>
  </r>
  <r>
    <x v="1044"/>
    <x v="4"/>
    <x v="1"/>
    <x v="273"/>
    <n v="47.8"/>
    <x v="40"/>
    <x v="40"/>
    <x v="1"/>
    <x v="0"/>
    <x v="2"/>
    <x v="0"/>
    <x v="8"/>
    <x v="3"/>
    <x v="6"/>
    <x v="1"/>
  </r>
  <r>
    <x v="1045"/>
    <x v="9"/>
    <x v="15"/>
    <x v="438"/>
    <n v="274.3"/>
    <x v="40"/>
    <x v="50"/>
    <x v="2"/>
    <x v="0"/>
    <x v="1"/>
    <x v="0"/>
    <x v="8"/>
    <x v="9"/>
    <x v="6"/>
    <x v="2"/>
  </r>
  <r>
    <x v="1046"/>
    <x v="8"/>
    <x v="9"/>
    <x v="601"/>
    <n v="169"/>
    <x v="40"/>
    <x v="44"/>
    <x v="2"/>
    <x v="0"/>
    <x v="0"/>
    <x v="0"/>
    <x v="8"/>
    <x v="1"/>
    <x v="6"/>
    <x v="2"/>
  </r>
  <r>
    <x v="1047"/>
    <x v="2"/>
    <x v="12"/>
    <x v="634"/>
    <n v="224.4"/>
    <x v="40"/>
    <x v="37"/>
    <x v="2"/>
    <x v="3"/>
    <x v="2"/>
    <x v="0"/>
    <x v="9"/>
    <x v="7"/>
    <x v="6"/>
    <x v="2"/>
  </r>
  <r>
    <x v="1048"/>
    <x v="3"/>
    <x v="0"/>
    <x v="635"/>
    <n v="58.5"/>
    <x v="41"/>
    <x v="48"/>
    <x v="2"/>
    <x v="1"/>
    <x v="2"/>
    <x v="0"/>
    <x v="9"/>
    <x v="5"/>
    <x v="6"/>
    <x v="2"/>
  </r>
  <r>
    <x v="1049"/>
    <x v="6"/>
    <x v="0"/>
    <x v="636"/>
    <n v="84.2"/>
    <x v="41"/>
    <x v="45"/>
    <x v="1"/>
    <x v="3"/>
    <x v="0"/>
    <x v="0"/>
    <x v="11"/>
    <x v="1"/>
    <x v="6"/>
    <x v="1"/>
  </r>
  <r>
    <x v="1050"/>
    <x v="11"/>
    <x v="12"/>
    <x v="168"/>
    <n v="208"/>
    <x v="41"/>
    <x v="42"/>
    <x v="1"/>
    <x v="0"/>
    <x v="0"/>
    <x v="0"/>
    <x v="11"/>
    <x v="2"/>
    <x v="6"/>
    <x v="1"/>
  </r>
  <r>
    <x v="1051"/>
    <x v="4"/>
    <x v="9"/>
    <x v="217"/>
    <n v="157.5"/>
    <x v="41"/>
    <x v="44"/>
    <x v="2"/>
    <x v="0"/>
    <x v="2"/>
    <x v="0"/>
    <x v="11"/>
    <x v="3"/>
    <x v="6"/>
    <x v="2"/>
  </r>
  <r>
    <x v="1052"/>
    <x v="16"/>
    <x v="2"/>
    <x v="193"/>
    <n v="138.60000000000002"/>
    <x v="41"/>
    <x v="44"/>
    <x v="1"/>
    <x v="0"/>
    <x v="0"/>
    <x v="0"/>
    <x v="53"/>
    <x v="3"/>
    <x v="6"/>
    <x v="1"/>
  </r>
  <r>
    <x v="1053"/>
    <x v="2"/>
    <x v="13"/>
    <x v="637"/>
    <n v="810"/>
    <x v="41"/>
    <x v="44"/>
    <x v="2"/>
    <x v="1"/>
    <x v="2"/>
    <x v="0"/>
    <x v="18"/>
    <x v="3"/>
    <x v="6"/>
    <x v="2"/>
  </r>
  <r>
    <x v="1054"/>
    <x v="12"/>
    <x v="2"/>
    <x v="638"/>
    <n v="276.60000000000002"/>
    <x v="41"/>
    <x v="48"/>
    <x v="1"/>
    <x v="0"/>
    <x v="0"/>
    <x v="0"/>
    <x v="21"/>
    <x v="5"/>
    <x v="6"/>
    <x v="1"/>
  </r>
  <r>
    <x v="1055"/>
    <x v="8"/>
    <x v="0"/>
    <x v="17"/>
    <n v="36.6"/>
    <x v="41"/>
    <x v="45"/>
    <x v="1"/>
    <x v="2"/>
    <x v="2"/>
    <x v="0"/>
    <x v="21"/>
    <x v="1"/>
    <x v="6"/>
    <x v="1"/>
  </r>
  <r>
    <x v="1056"/>
    <x v="9"/>
    <x v="1"/>
    <x v="79"/>
    <n v="101.2"/>
    <x v="41"/>
    <x v="42"/>
    <x v="2"/>
    <x v="0"/>
    <x v="0"/>
    <x v="0"/>
    <x v="2"/>
    <x v="2"/>
    <x v="6"/>
    <x v="2"/>
  </r>
  <r>
    <x v="1057"/>
    <x v="18"/>
    <x v="3"/>
    <x v="4"/>
    <n v="396.90000000000003"/>
    <x v="41"/>
    <x v="42"/>
    <x v="2"/>
    <x v="0"/>
    <x v="0"/>
    <x v="0"/>
    <x v="2"/>
    <x v="2"/>
    <x v="6"/>
    <x v="2"/>
  </r>
  <r>
    <x v="1058"/>
    <x v="9"/>
    <x v="15"/>
    <x v="409"/>
    <n v="297.7"/>
    <x v="41"/>
    <x v="44"/>
    <x v="2"/>
    <x v="0"/>
    <x v="1"/>
    <x v="0"/>
    <x v="44"/>
    <x v="3"/>
    <x v="6"/>
    <x v="2"/>
  </r>
  <r>
    <x v="1059"/>
    <x v="15"/>
    <x v="10"/>
    <x v="582"/>
    <n v="1018.4"/>
    <x v="41"/>
    <x v="44"/>
    <x v="1"/>
    <x v="0"/>
    <x v="0"/>
    <x v="0"/>
    <x v="22"/>
    <x v="3"/>
    <x v="6"/>
    <x v="1"/>
  </r>
  <r>
    <x v="1060"/>
    <x v="18"/>
    <x v="1"/>
    <x v="224"/>
    <n v="60.4"/>
    <x v="41"/>
    <x v="45"/>
    <x v="0"/>
    <x v="2"/>
    <x v="2"/>
    <x v="0"/>
    <x v="3"/>
    <x v="1"/>
    <x v="6"/>
    <x v="0"/>
  </r>
  <r>
    <x v="1061"/>
    <x v="15"/>
    <x v="13"/>
    <x v="298"/>
    <n v="500.40000000000003"/>
    <x v="41"/>
    <x v="44"/>
    <x v="1"/>
    <x v="1"/>
    <x v="2"/>
    <x v="0"/>
    <x v="3"/>
    <x v="3"/>
    <x v="6"/>
    <x v="1"/>
  </r>
  <r>
    <x v="1062"/>
    <x v="13"/>
    <x v="4"/>
    <x v="639"/>
    <n v="199.20000000000002"/>
    <x v="41"/>
    <x v="45"/>
    <x v="1"/>
    <x v="1"/>
    <x v="0"/>
    <x v="0"/>
    <x v="3"/>
    <x v="1"/>
    <x v="6"/>
    <x v="1"/>
  </r>
  <r>
    <x v="1063"/>
    <x v="8"/>
    <x v="14"/>
    <x v="421"/>
    <n v="372.29999999999995"/>
    <x v="41"/>
    <x v="45"/>
    <x v="2"/>
    <x v="4"/>
    <x v="1"/>
    <x v="0"/>
    <x v="3"/>
    <x v="1"/>
    <x v="6"/>
    <x v="2"/>
  </r>
  <r>
    <x v="1064"/>
    <x v="8"/>
    <x v="31"/>
    <x v="601"/>
    <n v="946.39999999999986"/>
    <x v="41"/>
    <x v="45"/>
    <x v="1"/>
    <x v="2"/>
    <x v="4"/>
    <x v="0"/>
    <x v="3"/>
    <x v="1"/>
    <x v="6"/>
    <x v="1"/>
  </r>
  <r>
    <x v="1065"/>
    <x v="18"/>
    <x v="1"/>
    <x v="459"/>
    <n v="106.4"/>
    <x v="41"/>
    <x v="40"/>
    <x v="1"/>
    <x v="1"/>
    <x v="0"/>
    <x v="0"/>
    <x v="3"/>
    <x v="7"/>
    <x v="6"/>
    <x v="1"/>
  </r>
  <r>
    <x v="1066"/>
    <x v="2"/>
    <x v="1"/>
    <x v="640"/>
    <n v="353.4"/>
    <x v="41"/>
    <x v="42"/>
    <x v="2"/>
    <x v="2"/>
    <x v="0"/>
    <x v="0"/>
    <x v="3"/>
    <x v="2"/>
    <x v="6"/>
    <x v="2"/>
  </r>
  <r>
    <x v="1067"/>
    <x v="12"/>
    <x v="2"/>
    <x v="641"/>
    <n v="162"/>
    <x v="41"/>
    <x v="42"/>
    <x v="1"/>
    <x v="0"/>
    <x v="1"/>
    <x v="0"/>
    <x v="3"/>
    <x v="2"/>
    <x v="6"/>
    <x v="1"/>
  </r>
  <r>
    <x v="1068"/>
    <x v="9"/>
    <x v="1"/>
    <x v="163"/>
    <n v="140.19999999999999"/>
    <x v="41"/>
    <x v="46"/>
    <x v="2"/>
    <x v="3"/>
    <x v="2"/>
    <x v="0"/>
    <x v="3"/>
    <x v="9"/>
    <x v="6"/>
    <x v="2"/>
  </r>
  <r>
    <x v="1069"/>
    <x v="8"/>
    <x v="0"/>
    <x v="38"/>
    <n v="26.5"/>
    <x v="41"/>
    <x v="45"/>
    <x v="2"/>
    <x v="1"/>
    <x v="0"/>
    <x v="0"/>
    <x v="3"/>
    <x v="1"/>
    <x v="6"/>
    <x v="2"/>
  </r>
  <r>
    <x v="1070"/>
    <x v="7"/>
    <x v="9"/>
    <x v="346"/>
    <n v="445"/>
    <x v="41"/>
    <x v="45"/>
    <x v="1"/>
    <x v="2"/>
    <x v="4"/>
    <x v="0"/>
    <x v="3"/>
    <x v="1"/>
    <x v="6"/>
    <x v="1"/>
  </r>
  <r>
    <x v="1071"/>
    <x v="1"/>
    <x v="13"/>
    <x v="642"/>
    <n v="282"/>
    <x v="41"/>
    <x v="42"/>
    <x v="2"/>
    <x v="3"/>
    <x v="0"/>
    <x v="0"/>
    <x v="24"/>
    <x v="2"/>
    <x v="6"/>
    <x v="2"/>
  </r>
  <r>
    <x v="1072"/>
    <x v="3"/>
    <x v="1"/>
    <x v="204"/>
    <n v="110.4"/>
    <x v="41"/>
    <x v="42"/>
    <x v="1"/>
    <x v="1"/>
    <x v="1"/>
    <x v="0"/>
    <x v="6"/>
    <x v="2"/>
    <x v="6"/>
    <x v="1"/>
  </r>
  <r>
    <x v="1073"/>
    <x v="8"/>
    <x v="39"/>
    <x v="57"/>
    <n v="1398.6"/>
    <x v="41"/>
    <x v="51"/>
    <x v="1"/>
    <x v="1"/>
    <x v="2"/>
    <x v="0"/>
    <x v="6"/>
    <x v="12"/>
    <x v="6"/>
    <x v="1"/>
  </r>
  <r>
    <x v="1074"/>
    <x v="2"/>
    <x v="12"/>
    <x v="643"/>
    <n v="443.6"/>
    <x v="42"/>
    <x v="44"/>
    <x v="1"/>
    <x v="2"/>
    <x v="4"/>
    <x v="0"/>
    <x v="6"/>
    <x v="7"/>
    <x v="6"/>
    <x v="1"/>
  </r>
  <r>
    <x v="1075"/>
    <x v="2"/>
    <x v="13"/>
    <x v="618"/>
    <n v="403.79999999999995"/>
    <x v="42"/>
    <x v="45"/>
    <x v="1"/>
    <x v="0"/>
    <x v="0"/>
    <x v="0"/>
    <x v="8"/>
    <x v="3"/>
    <x v="6"/>
    <x v="1"/>
  </r>
  <r>
    <x v="1076"/>
    <x v="6"/>
    <x v="2"/>
    <x v="330"/>
    <n v="209.10000000000002"/>
    <x v="42"/>
    <x v="45"/>
    <x v="1"/>
    <x v="2"/>
    <x v="1"/>
    <x v="0"/>
    <x v="8"/>
    <x v="3"/>
    <x v="6"/>
    <x v="1"/>
  </r>
  <r>
    <x v="1077"/>
    <x v="5"/>
    <x v="0"/>
    <x v="644"/>
    <n v="39.1"/>
    <x v="42"/>
    <x v="43"/>
    <x v="1"/>
    <x v="0"/>
    <x v="1"/>
    <x v="0"/>
    <x v="17"/>
    <x v="0"/>
    <x v="6"/>
    <x v="1"/>
  </r>
  <r>
    <x v="1078"/>
    <x v="2"/>
    <x v="2"/>
    <x v="645"/>
    <n v="625.79999999999995"/>
    <x v="42"/>
    <x v="44"/>
    <x v="1"/>
    <x v="4"/>
    <x v="2"/>
    <x v="0"/>
    <x v="17"/>
    <x v="7"/>
    <x v="6"/>
    <x v="1"/>
  </r>
  <r>
    <x v="1079"/>
    <x v="15"/>
    <x v="2"/>
    <x v="646"/>
    <n v="83.4"/>
    <x v="42"/>
    <x v="45"/>
    <x v="1"/>
    <x v="3"/>
    <x v="1"/>
    <x v="0"/>
    <x v="11"/>
    <x v="3"/>
    <x v="6"/>
    <x v="1"/>
  </r>
  <r>
    <x v="1080"/>
    <x v="10"/>
    <x v="9"/>
    <x v="647"/>
    <n v="147"/>
    <x v="42"/>
    <x v="42"/>
    <x v="2"/>
    <x v="0"/>
    <x v="0"/>
    <x v="0"/>
    <x v="11"/>
    <x v="1"/>
    <x v="6"/>
    <x v="2"/>
  </r>
  <r>
    <x v="1081"/>
    <x v="9"/>
    <x v="1"/>
    <x v="402"/>
    <n v="58.4"/>
    <x v="42"/>
    <x v="42"/>
    <x v="2"/>
    <x v="1"/>
    <x v="2"/>
    <x v="0"/>
    <x v="20"/>
    <x v="1"/>
    <x v="6"/>
    <x v="2"/>
  </r>
  <r>
    <x v="1082"/>
    <x v="10"/>
    <x v="9"/>
    <x v="38"/>
    <n v="132.5"/>
    <x v="42"/>
    <x v="42"/>
    <x v="2"/>
    <x v="0"/>
    <x v="0"/>
    <x v="0"/>
    <x v="52"/>
    <x v="1"/>
    <x v="6"/>
    <x v="2"/>
  </r>
  <r>
    <x v="1083"/>
    <x v="5"/>
    <x v="0"/>
    <x v="165"/>
    <n v="30.3"/>
    <x v="42"/>
    <x v="45"/>
    <x v="2"/>
    <x v="4"/>
    <x v="1"/>
    <x v="0"/>
    <x v="13"/>
    <x v="3"/>
    <x v="6"/>
    <x v="2"/>
  </r>
  <r>
    <x v="1084"/>
    <x v="16"/>
    <x v="4"/>
    <x v="138"/>
    <n v="476.40000000000003"/>
    <x v="42"/>
    <x v="45"/>
    <x v="2"/>
    <x v="0"/>
    <x v="0"/>
    <x v="0"/>
    <x v="21"/>
    <x v="3"/>
    <x v="6"/>
    <x v="2"/>
  </r>
  <r>
    <x v="1085"/>
    <x v="7"/>
    <x v="7"/>
    <x v="395"/>
    <n v="589"/>
    <x v="42"/>
    <x v="42"/>
    <x v="2"/>
    <x v="1"/>
    <x v="4"/>
    <x v="0"/>
    <x v="21"/>
    <x v="1"/>
    <x v="6"/>
    <x v="2"/>
  </r>
  <r>
    <x v="1086"/>
    <x v="2"/>
    <x v="1"/>
    <x v="648"/>
    <n v="348.2"/>
    <x v="42"/>
    <x v="42"/>
    <x v="2"/>
    <x v="0"/>
    <x v="1"/>
    <x v="0"/>
    <x v="46"/>
    <x v="1"/>
    <x v="6"/>
    <x v="2"/>
  </r>
  <r>
    <x v="1087"/>
    <x v="6"/>
    <x v="1"/>
    <x v="471"/>
    <n v="141.6"/>
    <x v="42"/>
    <x v="48"/>
    <x v="1"/>
    <x v="2"/>
    <x v="0"/>
    <x v="0"/>
    <x v="22"/>
    <x v="2"/>
    <x v="6"/>
    <x v="1"/>
  </r>
  <r>
    <x v="1088"/>
    <x v="7"/>
    <x v="1"/>
    <x v="214"/>
    <n v="114.8"/>
    <x v="42"/>
    <x v="42"/>
    <x v="2"/>
    <x v="1"/>
    <x v="1"/>
    <x v="0"/>
    <x v="34"/>
    <x v="1"/>
    <x v="6"/>
    <x v="2"/>
  </r>
  <r>
    <x v="1089"/>
    <x v="0"/>
    <x v="1"/>
    <x v="365"/>
    <n v="57"/>
    <x v="42"/>
    <x v="42"/>
    <x v="1"/>
    <x v="3"/>
    <x v="1"/>
    <x v="0"/>
    <x v="3"/>
    <x v="1"/>
    <x v="6"/>
    <x v="1"/>
  </r>
  <r>
    <x v="1090"/>
    <x v="2"/>
    <x v="28"/>
    <x v="649"/>
    <n v="2132"/>
    <x v="42"/>
    <x v="45"/>
    <x v="0"/>
    <x v="1"/>
    <x v="4"/>
    <x v="0"/>
    <x v="3"/>
    <x v="3"/>
    <x v="6"/>
    <x v="0"/>
  </r>
  <r>
    <x v="1091"/>
    <x v="2"/>
    <x v="2"/>
    <x v="650"/>
    <n v="359.1"/>
    <x v="42"/>
    <x v="45"/>
    <x v="2"/>
    <x v="1"/>
    <x v="4"/>
    <x v="0"/>
    <x v="3"/>
    <x v="3"/>
    <x v="6"/>
    <x v="2"/>
  </r>
  <r>
    <x v="1092"/>
    <x v="18"/>
    <x v="0"/>
    <x v="651"/>
    <n v="73.3"/>
    <x v="42"/>
    <x v="43"/>
    <x v="2"/>
    <x v="0"/>
    <x v="2"/>
    <x v="0"/>
    <x v="3"/>
    <x v="0"/>
    <x v="6"/>
    <x v="2"/>
  </r>
  <r>
    <x v="1093"/>
    <x v="0"/>
    <x v="1"/>
    <x v="136"/>
    <n v="51.6"/>
    <x v="42"/>
    <x v="52"/>
    <x v="1"/>
    <x v="2"/>
    <x v="0"/>
    <x v="0"/>
    <x v="3"/>
    <x v="12"/>
    <x v="6"/>
    <x v="1"/>
  </r>
  <r>
    <x v="1094"/>
    <x v="17"/>
    <x v="2"/>
    <x v="182"/>
    <n v="147.30000000000001"/>
    <x v="42"/>
    <x v="42"/>
    <x v="2"/>
    <x v="0"/>
    <x v="0"/>
    <x v="0"/>
    <x v="24"/>
    <x v="1"/>
    <x v="6"/>
    <x v="2"/>
  </r>
  <r>
    <x v="1095"/>
    <x v="1"/>
    <x v="0"/>
    <x v="125"/>
    <n v="44.9"/>
    <x v="42"/>
    <x v="48"/>
    <x v="2"/>
    <x v="3"/>
    <x v="2"/>
    <x v="0"/>
    <x v="6"/>
    <x v="2"/>
    <x v="6"/>
    <x v="2"/>
  </r>
  <r>
    <x v="1096"/>
    <x v="15"/>
    <x v="3"/>
    <x v="32"/>
    <n v="209.29999999999998"/>
    <x v="42"/>
    <x v="45"/>
    <x v="2"/>
    <x v="0"/>
    <x v="0"/>
    <x v="0"/>
    <x v="6"/>
    <x v="3"/>
    <x v="6"/>
    <x v="2"/>
  </r>
  <r>
    <x v="1097"/>
    <x v="7"/>
    <x v="1"/>
    <x v="352"/>
    <n v="108.6"/>
    <x v="43"/>
    <x v="42"/>
    <x v="1"/>
    <x v="3"/>
    <x v="0"/>
    <x v="0"/>
    <x v="36"/>
    <x v="3"/>
    <x v="6"/>
    <x v="1"/>
  </r>
  <r>
    <x v="1098"/>
    <x v="9"/>
    <x v="12"/>
    <x v="551"/>
    <n v="228"/>
    <x v="43"/>
    <x v="48"/>
    <x v="2"/>
    <x v="0"/>
    <x v="0"/>
    <x v="0"/>
    <x v="8"/>
    <x v="1"/>
    <x v="6"/>
    <x v="2"/>
  </r>
  <r>
    <x v="1099"/>
    <x v="2"/>
    <x v="0"/>
    <x v="652"/>
    <n v="139.19999999999999"/>
    <x v="43"/>
    <x v="42"/>
    <x v="2"/>
    <x v="3"/>
    <x v="2"/>
    <x v="0"/>
    <x v="8"/>
    <x v="3"/>
    <x v="6"/>
    <x v="2"/>
  </r>
  <r>
    <x v="1100"/>
    <x v="10"/>
    <x v="0"/>
    <x v="614"/>
    <n v="33"/>
    <x v="43"/>
    <x v="41"/>
    <x v="2"/>
    <x v="0"/>
    <x v="2"/>
    <x v="0"/>
    <x v="8"/>
    <x v="2"/>
    <x v="6"/>
    <x v="2"/>
  </r>
  <r>
    <x v="1101"/>
    <x v="11"/>
    <x v="13"/>
    <x v="454"/>
    <n v="481.20000000000005"/>
    <x v="43"/>
    <x v="48"/>
    <x v="1"/>
    <x v="1"/>
    <x v="4"/>
    <x v="0"/>
    <x v="8"/>
    <x v="1"/>
    <x v="6"/>
    <x v="1"/>
  </r>
  <r>
    <x v="1102"/>
    <x v="18"/>
    <x v="8"/>
    <x v="11"/>
    <n v="392"/>
    <x v="43"/>
    <x v="42"/>
    <x v="0"/>
    <x v="2"/>
    <x v="1"/>
    <x v="0"/>
    <x v="9"/>
    <x v="3"/>
    <x v="6"/>
    <x v="0"/>
  </r>
  <r>
    <x v="1103"/>
    <x v="1"/>
    <x v="12"/>
    <x v="653"/>
    <n v="417.6"/>
    <x v="43"/>
    <x v="45"/>
    <x v="2"/>
    <x v="0"/>
    <x v="0"/>
    <x v="0"/>
    <x v="9"/>
    <x v="7"/>
    <x v="6"/>
    <x v="2"/>
  </r>
  <r>
    <x v="1104"/>
    <x v="3"/>
    <x v="0"/>
    <x v="654"/>
    <n v="41.6"/>
    <x v="43"/>
    <x v="41"/>
    <x v="1"/>
    <x v="3"/>
    <x v="0"/>
    <x v="0"/>
    <x v="11"/>
    <x v="2"/>
    <x v="6"/>
    <x v="1"/>
  </r>
  <r>
    <x v="1105"/>
    <x v="19"/>
    <x v="1"/>
    <x v="655"/>
    <n v="32.799999999999997"/>
    <x v="43"/>
    <x v="42"/>
    <x v="3"/>
    <x v="0"/>
    <x v="2"/>
    <x v="0"/>
    <x v="11"/>
    <x v="3"/>
    <x v="6"/>
    <x v="3"/>
  </r>
  <r>
    <x v="1106"/>
    <x v="8"/>
    <x v="1"/>
    <x v="595"/>
    <n v="44"/>
    <x v="43"/>
    <x v="42"/>
    <x v="1"/>
    <x v="2"/>
    <x v="2"/>
    <x v="0"/>
    <x v="53"/>
    <x v="3"/>
    <x v="6"/>
    <x v="1"/>
  </r>
  <r>
    <x v="1107"/>
    <x v="15"/>
    <x v="1"/>
    <x v="570"/>
    <n v="67.2"/>
    <x v="43"/>
    <x v="50"/>
    <x v="2"/>
    <x v="0"/>
    <x v="0"/>
    <x v="0"/>
    <x v="21"/>
    <x v="0"/>
    <x v="6"/>
    <x v="2"/>
  </r>
  <r>
    <x v="1108"/>
    <x v="11"/>
    <x v="13"/>
    <x v="280"/>
    <n v="258"/>
    <x v="43"/>
    <x v="42"/>
    <x v="2"/>
    <x v="2"/>
    <x v="0"/>
    <x v="0"/>
    <x v="21"/>
    <x v="3"/>
    <x v="6"/>
    <x v="2"/>
  </r>
  <r>
    <x v="1109"/>
    <x v="6"/>
    <x v="9"/>
    <x v="586"/>
    <n v="544"/>
    <x v="43"/>
    <x v="41"/>
    <x v="2"/>
    <x v="4"/>
    <x v="2"/>
    <x v="0"/>
    <x v="21"/>
    <x v="2"/>
    <x v="6"/>
    <x v="2"/>
  </r>
  <r>
    <x v="1110"/>
    <x v="0"/>
    <x v="11"/>
    <x v="143"/>
    <n v="263.7"/>
    <x v="43"/>
    <x v="48"/>
    <x v="1"/>
    <x v="4"/>
    <x v="2"/>
    <x v="0"/>
    <x v="21"/>
    <x v="1"/>
    <x v="6"/>
    <x v="1"/>
  </r>
  <r>
    <x v="1111"/>
    <x v="2"/>
    <x v="0"/>
    <x v="656"/>
    <n v="122.7"/>
    <x v="43"/>
    <x v="41"/>
    <x v="3"/>
    <x v="0"/>
    <x v="2"/>
    <x v="0"/>
    <x v="1"/>
    <x v="2"/>
    <x v="6"/>
    <x v="3"/>
  </r>
  <r>
    <x v="1112"/>
    <x v="4"/>
    <x v="3"/>
    <x v="409"/>
    <n v="160.29999999999998"/>
    <x v="43"/>
    <x v="42"/>
    <x v="2"/>
    <x v="0"/>
    <x v="0"/>
    <x v="0"/>
    <x v="42"/>
    <x v="3"/>
    <x v="6"/>
    <x v="2"/>
  </r>
  <r>
    <x v="1113"/>
    <x v="8"/>
    <x v="7"/>
    <x v="423"/>
    <n v="255"/>
    <x v="43"/>
    <x v="49"/>
    <x v="2"/>
    <x v="0"/>
    <x v="0"/>
    <x v="0"/>
    <x v="33"/>
    <x v="6"/>
    <x v="6"/>
    <x v="2"/>
  </r>
  <r>
    <x v="1114"/>
    <x v="17"/>
    <x v="2"/>
    <x v="139"/>
    <n v="70.199999999999989"/>
    <x v="43"/>
    <x v="43"/>
    <x v="2"/>
    <x v="0"/>
    <x v="2"/>
    <x v="0"/>
    <x v="3"/>
    <x v="5"/>
    <x v="6"/>
    <x v="2"/>
  </r>
  <r>
    <x v="1115"/>
    <x v="5"/>
    <x v="8"/>
    <x v="336"/>
    <n v="219.2"/>
    <x v="43"/>
    <x v="41"/>
    <x v="2"/>
    <x v="2"/>
    <x v="0"/>
    <x v="0"/>
    <x v="3"/>
    <x v="2"/>
    <x v="6"/>
    <x v="2"/>
  </r>
  <r>
    <x v="1116"/>
    <x v="5"/>
    <x v="9"/>
    <x v="657"/>
    <n v="342"/>
    <x v="43"/>
    <x v="42"/>
    <x v="2"/>
    <x v="0"/>
    <x v="0"/>
    <x v="0"/>
    <x v="3"/>
    <x v="3"/>
    <x v="6"/>
    <x v="2"/>
  </r>
  <r>
    <x v="1117"/>
    <x v="6"/>
    <x v="0"/>
    <x v="424"/>
    <n v="51.9"/>
    <x v="43"/>
    <x v="45"/>
    <x v="2"/>
    <x v="0"/>
    <x v="0"/>
    <x v="0"/>
    <x v="3"/>
    <x v="7"/>
    <x v="6"/>
    <x v="2"/>
  </r>
  <r>
    <x v="1118"/>
    <x v="0"/>
    <x v="9"/>
    <x v="23"/>
    <n v="132"/>
    <x v="43"/>
    <x v="41"/>
    <x v="2"/>
    <x v="0"/>
    <x v="2"/>
    <x v="0"/>
    <x v="3"/>
    <x v="2"/>
    <x v="6"/>
    <x v="2"/>
  </r>
  <r>
    <x v="1119"/>
    <x v="12"/>
    <x v="1"/>
    <x v="658"/>
    <n v="234"/>
    <x v="43"/>
    <x v="42"/>
    <x v="2"/>
    <x v="1"/>
    <x v="1"/>
    <x v="0"/>
    <x v="3"/>
    <x v="3"/>
    <x v="6"/>
    <x v="2"/>
  </r>
  <r>
    <x v="1120"/>
    <x v="7"/>
    <x v="2"/>
    <x v="659"/>
    <n v="148.80000000000001"/>
    <x v="44"/>
    <x v="41"/>
    <x v="2"/>
    <x v="0"/>
    <x v="0"/>
    <x v="0"/>
    <x v="3"/>
    <x v="1"/>
    <x v="6"/>
    <x v="2"/>
  </r>
  <r>
    <x v="1121"/>
    <x v="4"/>
    <x v="2"/>
    <x v="545"/>
    <n v="114"/>
    <x v="44"/>
    <x v="43"/>
    <x v="1"/>
    <x v="2"/>
    <x v="4"/>
    <x v="0"/>
    <x v="3"/>
    <x v="2"/>
    <x v="6"/>
    <x v="1"/>
  </r>
  <r>
    <x v="1122"/>
    <x v="0"/>
    <x v="2"/>
    <x v="468"/>
    <n v="61.800000000000004"/>
    <x v="44"/>
    <x v="41"/>
    <x v="2"/>
    <x v="4"/>
    <x v="2"/>
    <x v="0"/>
    <x v="3"/>
    <x v="1"/>
    <x v="6"/>
    <x v="2"/>
  </r>
  <r>
    <x v="1123"/>
    <x v="0"/>
    <x v="1"/>
    <x v="398"/>
    <n v="32"/>
    <x v="44"/>
    <x v="48"/>
    <x v="1"/>
    <x v="1"/>
    <x v="1"/>
    <x v="0"/>
    <x v="49"/>
    <x v="3"/>
    <x v="6"/>
    <x v="1"/>
  </r>
  <r>
    <x v="1124"/>
    <x v="15"/>
    <x v="12"/>
    <x v="660"/>
    <n v="197.2"/>
    <x v="44"/>
    <x v="48"/>
    <x v="2"/>
    <x v="2"/>
    <x v="0"/>
    <x v="0"/>
    <x v="23"/>
    <x v="3"/>
    <x v="6"/>
    <x v="2"/>
  </r>
  <r>
    <x v="1125"/>
    <x v="9"/>
    <x v="1"/>
    <x v="661"/>
    <n v="48.2"/>
    <x v="44"/>
    <x v="50"/>
    <x v="2"/>
    <x v="0"/>
    <x v="0"/>
    <x v="0"/>
    <x v="6"/>
    <x v="5"/>
    <x v="6"/>
    <x v="2"/>
  </r>
  <r>
    <x v="1126"/>
    <x v="15"/>
    <x v="8"/>
    <x v="195"/>
    <n v="261.60000000000002"/>
    <x v="44"/>
    <x v="48"/>
    <x v="2"/>
    <x v="1"/>
    <x v="0"/>
    <x v="0"/>
    <x v="6"/>
    <x v="3"/>
    <x v="6"/>
    <x v="2"/>
  </r>
  <r>
    <x v="1127"/>
    <x v="6"/>
    <x v="2"/>
    <x v="603"/>
    <n v="223.20000000000002"/>
    <x v="44"/>
    <x v="48"/>
    <x v="2"/>
    <x v="3"/>
    <x v="2"/>
    <x v="0"/>
    <x v="8"/>
    <x v="3"/>
    <x v="6"/>
    <x v="2"/>
  </r>
  <r>
    <x v="1128"/>
    <x v="12"/>
    <x v="0"/>
    <x v="357"/>
    <n v="45.6"/>
    <x v="44"/>
    <x v="50"/>
    <x v="2"/>
    <x v="4"/>
    <x v="0"/>
    <x v="0"/>
    <x v="8"/>
    <x v="5"/>
    <x v="6"/>
    <x v="2"/>
  </r>
  <r>
    <x v="1129"/>
    <x v="8"/>
    <x v="8"/>
    <x v="266"/>
    <n v="156.80000000000001"/>
    <x v="44"/>
    <x v="53"/>
    <x v="2"/>
    <x v="0"/>
    <x v="0"/>
    <x v="0"/>
    <x v="8"/>
    <x v="10"/>
    <x v="6"/>
    <x v="2"/>
  </r>
  <r>
    <x v="1130"/>
    <x v="9"/>
    <x v="0"/>
    <x v="147"/>
    <n v="51.8"/>
    <x v="44"/>
    <x v="48"/>
    <x v="2"/>
    <x v="1"/>
    <x v="0"/>
    <x v="0"/>
    <x v="8"/>
    <x v="3"/>
    <x v="6"/>
    <x v="2"/>
  </r>
  <r>
    <x v="1131"/>
    <x v="6"/>
    <x v="0"/>
    <x v="492"/>
    <n v="74.7"/>
    <x v="44"/>
    <x v="48"/>
    <x v="1"/>
    <x v="0"/>
    <x v="1"/>
    <x v="0"/>
    <x v="8"/>
    <x v="3"/>
    <x v="6"/>
    <x v="1"/>
  </r>
  <r>
    <x v="1132"/>
    <x v="19"/>
    <x v="2"/>
    <x v="9"/>
    <n v="67.199999999999989"/>
    <x v="44"/>
    <x v="48"/>
    <x v="2"/>
    <x v="1"/>
    <x v="2"/>
    <x v="0"/>
    <x v="9"/>
    <x v="3"/>
    <x v="6"/>
    <x v="2"/>
  </r>
  <r>
    <x v="1133"/>
    <x v="1"/>
    <x v="12"/>
    <x v="541"/>
    <n v="125.6"/>
    <x v="44"/>
    <x v="48"/>
    <x v="2"/>
    <x v="1"/>
    <x v="0"/>
    <x v="0"/>
    <x v="9"/>
    <x v="3"/>
    <x v="6"/>
    <x v="2"/>
  </r>
  <r>
    <x v="1134"/>
    <x v="6"/>
    <x v="0"/>
    <x v="420"/>
    <n v="94"/>
    <x v="44"/>
    <x v="42"/>
    <x v="2"/>
    <x v="1"/>
    <x v="2"/>
    <x v="0"/>
    <x v="10"/>
    <x v="7"/>
    <x v="6"/>
    <x v="2"/>
  </r>
  <r>
    <x v="1135"/>
    <x v="10"/>
    <x v="0"/>
    <x v="208"/>
    <n v="22.3"/>
    <x v="44"/>
    <x v="48"/>
    <x v="1"/>
    <x v="4"/>
    <x v="0"/>
    <x v="0"/>
    <x v="20"/>
    <x v="3"/>
    <x v="6"/>
    <x v="1"/>
  </r>
  <r>
    <x v="1136"/>
    <x v="0"/>
    <x v="0"/>
    <x v="421"/>
    <n v="21.9"/>
    <x v="44"/>
    <x v="43"/>
    <x v="2"/>
    <x v="2"/>
    <x v="0"/>
    <x v="0"/>
    <x v="21"/>
    <x v="2"/>
    <x v="6"/>
    <x v="2"/>
  </r>
  <r>
    <x v="1137"/>
    <x v="17"/>
    <x v="2"/>
    <x v="49"/>
    <n v="81"/>
    <x v="44"/>
    <x v="41"/>
    <x v="2"/>
    <x v="4"/>
    <x v="2"/>
    <x v="0"/>
    <x v="2"/>
    <x v="1"/>
    <x v="6"/>
    <x v="2"/>
  </r>
  <r>
    <x v="1138"/>
    <x v="2"/>
    <x v="12"/>
    <x v="662"/>
    <n v="598.4"/>
    <x v="44"/>
    <x v="42"/>
    <x v="2"/>
    <x v="4"/>
    <x v="0"/>
    <x v="0"/>
    <x v="22"/>
    <x v="7"/>
    <x v="6"/>
    <x v="2"/>
  </r>
  <r>
    <x v="1139"/>
    <x v="2"/>
    <x v="12"/>
    <x v="663"/>
    <n v="516.4"/>
    <x v="44"/>
    <x v="54"/>
    <x v="1"/>
    <x v="0"/>
    <x v="1"/>
    <x v="0"/>
    <x v="3"/>
    <x v="14"/>
    <x v="6"/>
    <x v="1"/>
  </r>
  <r>
    <x v="1140"/>
    <x v="1"/>
    <x v="4"/>
    <x v="664"/>
    <n v="484.79999999999995"/>
    <x v="44"/>
    <x v="48"/>
    <x v="1"/>
    <x v="1"/>
    <x v="1"/>
    <x v="0"/>
    <x v="3"/>
    <x v="3"/>
    <x v="6"/>
    <x v="1"/>
  </r>
  <r>
    <x v="1141"/>
    <x v="4"/>
    <x v="2"/>
    <x v="286"/>
    <n v="145.5"/>
    <x v="44"/>
    <x v="41"/>
    <x v="2"/>
    <x v="0"/>
    <x v="4"/>
    <x v="0"/>
    <x v="3"/>
    <x v="1"/>
    <x v="6"/>
    <x v="2"/>
  </r>
  <r>
    <x v="1142"/>
    <x v="9"/>
    <x v="1"/>
    <x v="410"/>
    <n v="75.2"/>
    <x v="44"/>
    <x v="41"/>
    <x v="2"/>
    <x v="1"/>
    <x v="2"/>
    <x v="0"/>
    <x v="3"/>
    <x v="1"/>
    <x v="6"/>
    <x v="2"/>
  </r>
  <r>
    <x v="1143"/>
    <x v="8"/>
    <x v="1"/>
    <x v="266"/>
    <n v="39.200000000000003"/>
    <x v="44"/>
    <x v="48"/>
    <x v="1"/>
    <x v="3"/>
    <x v="4"/>
    <x v="0"/>
    <x v="43"/>
    <x v="3"/>
    <x v="6"/>
    <x v="1"/>
  </r>
  <r>
    <x v="1144"/>
    <x v="8"/>
    <x v="9"/>
    <x v="99"/>
    <n v="92.5"/>
    <x v="44"/>
    <x v="48"/>
    <x v="2"/>
    <x v="2"/>
    <x v="1"/>
    <x v="0"/>
    <x v="6"/>
    <x v="3"/>
    <x v="6"/>
    <x v="2"/>
  </r>
  <r>
    <x v="1145"/>
    <x v="5"/>
    <x v="2"/>
    <x v="423"/>
    <n v="76.5"/>
    <x v="44"/>
    <x v="41"/>
    <x v="2"/>
    <x v="4"/>
    <x v="1"/>
    <x v="0"/>
    <x v="6"/>
    <x v="1"/>
    <x v="6"/>
    <x v="2"/>
  </r>
  <r>
    <x v="1146"/>
    <x v="2"/>
    <x v="1"/>
    <x v="568"/>
    <n v="189.4"/>
    <x v="44"/>
    <x v="48"/>
    <x v="2"/>
    <x v="2"/>
    <x v="0"/>
    <x v="0"/>
    <x v="36"/>
    <x v="3"/>
    <x v="6"/>
    <x v="2"/>
  </r>
  <r>
    <x v="1147"/>
    <x v="1"/>
    <x v="13"/>
    <x v="665"/>
    <n v="232.79999999999998"/>
    <x v="44"/>
    <x v="46"/>
    <x v="2"/>
    <x v="2"/>
    <x v="2"/>
    <x v="0"/>
    <x v="8"/>
    <x v="0"/>
    <x v="6"/>
    <x v="2"/>
  </r>
  <r>
    <x v="1148"/>
    <x v="9"/>
    <x v="1"/>
    <x v="183"/>
    <n v="98.8"/>
    <x v="45"/>
    <x v="55"/>
    <x v="1"/>
    <x v="4"/>
    <x v="1"/>
    <x v="0"/>
    <x v="8"/>
    <x v="9"/>
    <x v="6"/>
    <x v="1"/>
  </r>
  <r>
    <x v="1149"/>
    <x v="7"/>
    <x v="2"/>
    <x v="666"/>
    <n v="204"/>
    <x v="45"/>
    <x v="50"/>
    <x v="1"/>
    <x v="0"/>
    <x v="2"/>
    <x v="0"/>
    <x v="8"/>
    <x v="2"/>
    <x v="6"/>
    <x v="1"/>
  </r>
  <r>
    <x v="1150"/>
    <x v="15"/>
    <x v="3"/>
    <x v="46"/>
    <n v="445.90000000000003"/>
    <x v="45"/>
    <x v="41"/>
    <x v="2"/>
    <x v="2"/>
    <x v="2"/>
    <x v="0"/>
    <x v="8"/>
    <x v="3"/>
    <x v="6"/>
    <x v="2"/>
  </r>
  <r>
    <x v="1151"/>
    <x v="10"/>
    <x v="1"/>
    <x v="667"/>
    <n v="132.4"/>
    <x v="45"/>
    <x v="41"/>
    <x v="2"/>
    <x v="4"/>
    <x v="2"/>
    <x v="0"/>
    <x v="17"/>
    <x v="3"/>
    <x v="6"/>
    <x v="2"/>
  </r>
  <r>
    <x v="1152"/>
    <x v="12"/>
    <x v="2"/>
    <x v="240"/>
    <n v="96.899999999999991"/>
    <x v="45"/>
    <x v="41"/>
    <x v="3"/>
    <x v="2"/>
    <x v="1"/>
    <x v="0"/>
    <x v="9"/>
    <x v="3"/>
    <x v="6"/>
    <x v="3"/>
  </r>
  <r>
    <x v="1153"/>
    <x v="4"/>
    <x v="1"/>
    <x v="668"/>
    <n v="133.80000000000001"/>
    <x v="45"/>
    <x v="50"/>
    <x v="1"/>
    <x v="1"/>
    <x v="0"/>
    <x v="0"/>
    <x v="11"/>
    <x v="2"/>
    <x v="6"/>
    <x v="1"/>
  </r>
  <r>
    <x v="1154"/>
    <x v="4"/>
    <x v="4"/>
    <x v="19"/>
    <n v="302.39999999999998"/>
    <x v="45"/>
    <x v="46"/>
    <x v="2"/>
    <x v="0"/>
    <x v="1"/>
    <x v="0"/>
    <x v="11"/>
    <x v="5"/>
    <x v="6"/>
    <x v="2"/>
  </r>
  <r>
    <x v="1155"/>
    <x v="10"/>
    <x v="13"/>
    <x v="669"/>
    <n v="177"/>
    <x v="45"/>
    <x v="41"/>
    <x v="1"/>
    <x v="2"/>
    <x v="0"/>
    <x v="0"/>
    <x v="11"/>
    <x v="3"/>
    <x v="6"/>
    <x v="1"/>
  </r>
  <r>
    <x v="1156"/>
    <x v="8"/>
    <x v="9"/>
    <x v="592"/>
    <n v="108"/>
    <x v="45"/>
    <x v="43"/>
    <x v="2"/>
    <x v="0"/>
    <x v="2"/>
    <x v="0"/>
    <x v="32"/>
    <x v="1"/>
    <x v="6"/>
    <x v="2"/>
  </r>
  <r>
    <x v="1157"/>
    <x v="12"/>
    <x v="2"/>
    <x v="192"/>
    <n v="207"/>
    <x v="45"/>
    <x v="41"/>
    <x v="2"/>
    <x v="0"/>
    <x v="0"/>
    <x v="0"/>
    <x v="18"/>
    <x v="3"/>
    <x v="6"/>
    <x v="2"/>
  </r>
  <r>
    <x v="1158"/>
    <x v="7"/>
    <x v="1"/>
    <x v="670"/>
    <n v="230"/>
    <x v="45"/>
    <x v="46"/>
    <x v="1"/>
    <x v="0"/>
    <x v="2"/>
    <x v="0"/>
    <x v="18"/>
    <x v="5"/>
    <x v="6"/>
    <x v="1"/>
  </r>
  <r>
    <x v="1159"/>
    <x v="2"/>
    <x v="1"/>
    <x v="671"/>
    <n v="218.6"/>
    <x v="45"/>
    <x v="43"/>
    <x v="0"/>
    <x v="3"/>
    <x v="1"/>
    <x v="0"/>
    <x v="19"/>
    <x v="1"/>
    <x v="6"/>
    <x v="0"/>
  </r>
  <r>
    <x v="1160"/>
    <x v="9"/>
    <x v="1"/>
    <x v="450"/>
    <n v="133.19999999999999"/>
    <x v="45"/>
    <x v="50"/>
    <x v="0"/>
    <x v="4"/>
    <x v="1"/>
    <x v="0"/>
    <x v="19"/>
    <x v="2"/>
    <x v="6"/>
    <x v="0"/>
  </r>
  <r>
    <x v="1161"/>
    <x v="12"/>
    <x v="9"/>
    <x v="672"/>
    <n v="238.5"/>
    <x v="45"/>
    <x v="41"/>
    <x v="1"/>
    <x v="3"/>
    <x v="2"/>
    <x v="0"/>
    <x v="21"/>
    <x v="3"/>
    <x v="6"/>
    <x v="1"/>
  </r>
  <r>
    <x v="1162"/>
    <x v="8"/>
    <x v="1"/>
    <x v="544"/>
    <n v="92"/>
    <x v="45"/>
    <x v="41"/>
    <x v="2"/>
    <x v="4"/>
    <x v="4"/>
    <x v="0"/>
    <x v="22"/>
    <x v="3"/>
    <x v="6"/>
    <x v="2"/>
  </r>
  <r>
    <x v="1163"/>
    <x v="1"/>
    <x v="13"/>
    <x v="418"/>
    <n v="235.79999999999998"/>
    <x v="45"/>
    <x v="43"/>
    <x v="1"/>
    <x v="3"/>
    <x v="2"/>
    <x v="0"/>
    <x v="3"/>
    <x v="1"/>
    <x v="6"/>
    <x v="1"/>
  </r>
  <r>
    <x v="1164"/>
    <x v="9"/>
    <x v="0"/>
    <x v="673"/>
    <n v="70.2"/>
    <x v="45"/>
    <x v="41"/>
    <x v="2"/>
    <x v="0"/>
    <x v="4"/>
    <x v="0"/>
    <x v="3"/>
    <x v="3"/>
    <x v="6"/>
    <x v="2"/>
  </r>
  <r>
    <x v="1165"/>
    <x v="3"/>
    <x v="12"/>
    <x v="674"/>
    <n v="286"/>
    <x v="45"/>
    <x v="48"/>
    <x v="2"/>
    <x v="1"/>
    <x v="2"/>
    <x v="0"/>
    <x v="3"/>
    <x v="7"/>
    <x v="6"/>
    <x v="2"/>
  </r>
  <r>
    <x v="1166"/>
    <x v="10"/>
    <x v="3"/>
    <x v="452"/>
    <n v="217"/>
    <x v="45"/>
    <x v="56"/>
    <x v="2"/>
    <x v="3"/>
    <x v="2"/>
    <x v="0"/>
    <x v="3"/>
    <x v="6"/>
    <x v="6"/>
    <x v="2"/>
  </r>
  <r>
    <x v="1167"/>
    <x v="2"/>
    <x v="9"/>
    <x v="197"/>
    <n v="341"/>
    <x v="45"/>
    <x v="49"/>
    <x v="2"/>
    <x v="0"/>
    <x v="2"/>
    <x v="0"/>
    <x v="3"/>
    <x v="0"/>
    <x v="6"/>
    <x v="2"/>
  </r>
  <r>
    <x v="1168"/>
    <x v="2"/>
    <x v="0"/>
    <x v="338"/>
    <n v="91.4"/>
    <x v="45"/>
    <x v="46"/>
    <x v="2"/>
    <x v="1"/>
    <x v="2"/>
    <x v="0"/>
    <x v="6"/>
    <x v="5"/>
    <x v="6"/>
    <x v="2"/>
  </r>
  <r>
    <x v="1169"/>
    <x v="6"/>
    <x v="7"/>
    <x v="675"/>
    <n v="1129"/>
    <x v="45"/>
    <x v="41"/>
    <x v="2"/>
    <x v="0"/>
    <x v="0"/>
    <x v="0"/>
    <x v="6"/>
    <x v="3"/>
    <x v="6"/>
    <x v="2"/>
  </r>
  <r>
    <x v="1170"/>
    <x v="17"/>
    <x v="11"/>
    <x v="532"/>
    <n v="303.3"/>
    <x v="45"/>
    <x v="41"/>
    <x v="2"/>
    <x v="1"/>
    <x v="2"/>
    <x v="0"/>
    <x v="8"/>
    <x v="3"/>
    <x v="6"/>
    <x v="2"/>
  </r>
  <r>
    <x v="1171"/>
    <x v="15"/>
    <x v="7"/>
    <x v="341"/>
    <n v="353"/>
    <x v="45"/>
    <x v="43"/>
    <x v="1"/>
    <x v="2"/>
    <x v="0"/>
    <x v="0"/>
    <x v="8"/>
    <x v="1"/>
    <x v="6"/>
    <x v="1"/>
  </r>
  <r>
    <x v="1172"/>
    <x v="18"/>
    <x v="2"/>
    <x v="357"/>
    <n v="136.80000000000001"/>
    <x v="45"/>
    <x v="46"/>
    <x v="1"/>
    <x v="3"/>
    <x v="0"/>
    <x v="0"/>
    <x v="8"/>
    <x v="5"/>
    <x v="6"/>
    <x v="1"/>
  </r>
  <r>
    <x v="1173"/>
    <x v="7"/>
    <x v="3"/>
    <x v="344"/>
    <n v="329.7"/>
    <x v="45"/>
    <x v="41"/>
    <x v="2"/>
    <x v="4"/>
    <x v="2"/>
    <x v="0"/>
    <x v="9"/>
    <x v="3"/>
    <x v="6"/>
    <x v="2"/>
  </r>
  <r>
    <x v="1174"/>
    <x v="8"/>
    <x v="9"/>
    <x v="261"/>
    <n v="81"/>
    <x v="45"/>
    <x v="43"/>
    <x v="2"/>
    <x v="3"/>
    <x v="2"/>
    <x v="0"/>
    <x v="19"/>
    <x v="1"/>
    <x v="6"/>
    <x v="2"/>
  </r>
  <r>
    <x v="1175"/>
    <x v="1"/>
    <x v="1"/>
    <x v="676"/>
    <n v="319.39999999999998"/>
    <x v="46"/>
    <x v="43"/>
    <x v="1"/>
    <x v="4"/>
    <x v="0"/>
    <x v="0"/>
    <x v="13"/>
    <x v="3"/>
    <x v="7"/>
    <x v="1"/>
  </r>
  <r>
    <x v="1176"/>
    <x v="8"/>
    <x v="12"/>
    <x v="129"/>
    <n v="76"/>
    <x v="46"/>
    <x v="55"/>
    <x v="2"/>
    <x v="2"/>
    <x v="2"/>
    <x v="0"/>
    <x v="21"/>
    <x v="6"/>
    <x v="7"/>
    <x v="2"/>
  </r>
  <r>
    <x v="1177"/>
    <x v="6"/>
    <x v="13"/>
    <x v="677"/>
    <n v="546.59999999999991"/>
    <x v="46"/>
    <x v="51"/>
    <x v="2"/>
    <x v="4"/>
    <x v="0"/>
    <x v="0"/>
    <x v="21"/>
    <x v="8"/>
    <x v="7"/>
    <x v="2"/>
  </r>
  <r>
    <x v="1178"/>
    <x v="2"/>
    <x v="9"/>
    <x v="252"/>
    <n v="470.5"/>
    <x v="46"/>
    <x v="46"/>
    <x v="0"/>
    <x v="1"/>
    <x v="1"/>
    <x v="0"/>
    <x v="21"/>
    <x v="2"/>
    <x v="7"/>
    <x v="0"/>
  </r>
  <r>
    <x v="1179"/>
    <x v="9"/>
    <x v="11"/>
    <x v="438"/>
    <n v="189.9"/>
    <x v="46"/>
    <x v="43"/>
    <x v="2"/>
    <x v="4"/>
    <x v="2"/>
    <x v="0"/>
    <x v="51"/>
    <x v="3"/>
    <x v="7"/>
    <x v="2"/>
  </r>
  <r>
    <x v="1180"/>
    <x v="8"/>
    <x v="3"/>
    <x v="678"/>
    <n v="107.10000000000001"/>
    <x v="46"/>
    <x v="54"/>
    <x v="2"/>
    <x v="2"/>
    <x v="0"/>
    <x v="0"/>
    <x v="1"/>
    <x v="9"/>
    <x v="7"/>
    <x v="2"/>
  </r>
  <r>
    <x v="1181"/>
    <x v="15"/>
    <x v="12"/>
    <x v="210"/>
    <n v="85.2"/>
    <x v="46"/>
    <x v="46"/>
    <x v="1"/>
    <x v="1"/>
    <x v="0"/>
    <x v="0"/>
    <x v="3"/>
    <x v="2"/>
    <x v="7"/>
    <x v="1"/>
  </r>
  <r>
    <x v="1182"/>
    <x v="0"/>
    <x v="1"/>
    <x v="372"/>
    <n v="46.4"/>
    <x v="46"/>
    <x v="41"/>
    <x v="0"/>
    <x v="3"/>
    <x v="1"/>
    <x v="0"/>
    <x v="3"/>
    <x v="7"/>
    <x v="7"/>
    <x v="0"/>
  </r>
  <r>
    <x v="1183"/>
    <x v="4"/>
    <x v="2"/>
    <x v="679"/>
    <n v="77.099999999999994"/>
    <x v="46"/>
    <x v="43"/>
    <x v="1"/>
    <x v="4"/>
    <x v="0"/>
    <x v="0"/>
    <x v="3"/>
    <x v="3"/>
    <x v="7"/>
    <x v="1"/>
  </r>
  <r>
    <x v="1184"/>
    <x v="0"/>
    <x v="11"/>
    <x v="680"/>
    <n v="284.40000000000003"/>
    <x v="46"/>
    <x v="50"/>
    <x v="2"/>
    <x v="0"/>
    <x v="0"/>
    <x v="0"/>
    <x v="3"/>
    <x v="1"/>
    <x v="7"/>
    <x v="2"/>
  </r>
  <r>
    <x v="1185"/>
    <x v="6"/>
    <x v="0"/>
    <x v="58"/>
    <n v="64.2"/>
    <x v="46"/>
    <x v="47"/>
    <x v="1"/>
    <x v="0"/>
    <x v="0"/>
    <x v="0"/>
    <x v="3"/>
    <x v="0"/>
    <x v="7"/>
    <x v="1"/>
  </r>
  <r>
    <x v="1186"/>
    <x v="8"/>
    <x v="1"/>
    <x v="502"/>
    <n v="111.6"/>
    <x v="46"/>
    <x v="50"/>
    <x v="0"/>
    <x v="0"/>
    <x v="0"/>
    <x v="0"/>
    <x v="3"/>
    <x v="1"/>
    <x v="7"/>
    <x v="0"/>
  </r>
  <r>
    <x v="1187"/>
    <x v="8"/>
    <x v="1"/>
    <x v="257"/>
    <n v="56.2"/>
    <x v="46"/>
    <x v="43"/>
    <x v="2"/>
    <x v="4"/>
    <x v="1"/>
    <x v="0"/>
    <x v="3"/>
    <x v="3"/>
    <x v="7"/>
    <x v="2"/>
  </r>
  <r>
    <x v="1188"/>
    <x v="0"/>
    <x v="1"/>
    <x v="463"/>
    <n v="23.2"/>
    <x v="46"/>
    <x v="50"/>
    <x v="2"/>
    <x v="1"/>
    <x v="0"/>
    <x v="0"/>
    <x v="24"/>
    <x v="1"/>
    <x v="7"/>
    <x v="2"/>
  </r>
  <r>
    <x v="1189"/>
    <x v="5"/>
    <x v="2"/>
    <x v="88"/>
    <n v="151.19999999999999"/>
    <x v="46"/>
    <x v="43"/>
    <x v="1"/>
    <x v="4"/>
    <x v="2"/>
    <x v="0"/>
    <x v="25"/>
    <x v="3"/>
    <x v="7"/>
    <x v="1"/>
  </r>
  <r>
    <x v="1190"/>
    <x v="6"/>
    <x v="13"/>
    <x v="591"/>
    <n v="289.79999999999995"/>
    <x v="46"/>
    <x v="49"/>
    <x v="2"/>
    <x v="0"/>
    <x v="0"/>
    <x v="0"/>
    <x v="25"/>
    <x v="5"/>
    <x v="7"/>
    <x v="2"/>
  </r>
  <r>
    <x v="1191"/>
    <x v="17"/>
    <x v="3"/>
    <x v="380"/>
    <n v="225.40000000000003"/>
    <x v="46"/>
    <x v="50"/>
    <x v="2"/>
    <x v="2"/>
    <x v="0"/>
    <x v="0"/>
    <x v="25"/>
    <x v="1"/>
    <x v="7"/>
    <x v="2"/>
  </r>
  <r>
    <x v="1192"/>
    <x v="7"/>
    <x v="31"/>
    <x v="286"/>
    <n v="1358"/>
    <x v="46"/>
    <x v="43"/>
    <x v="1"/>
    <x v="0"/>
    <x v="0"/>
    <x v="0"/>
    <x v="5"/>
    <x v="3"/>
    <x v="7"/>
    <x v="1"/>
  </r>
  <r>
    <x v="1193"/>
    <x v="2"/>
    <x v="9"/>
    <x v="205"/>
    <n v="310"/>
    <x v="46"/>
    <x v="46"/>
    <x v="2"/>
    <x v="1"/>
    <x v="0"/>
    <x v="0"/>
    <x v="6"/>
    <x v="2"/>
    <x v="7"/>
    <x v="2"/>
  </r>
  <r>
    <x v="1194"/>
    <x v="8"/>
    <x v="2"/>
    <x v="201"/>
    <n v="96.300000000000011"/>
    <x v="47"/>
    <x v="46"/>
    <x v="1"/>
    <x v="0"/>
    <x v="0"/>
    <x v="0"/>
    <x v="6"/>
    <x v="1"/>
    <x v="7"/>
    <x v="1"/>
  </r>
  <r>
    <x v="1195"/>
    <x v="12"/>
    <x v="2"/>
    <x v="681"/>
    <n v="318.29999999999995"/>
    <x v="47"/>
    <x v="46"/>
    <x v="1"/>
    <x v="0"/>
    <x v="1"/>
    <x v="0"/>
    <x v="7"/>
    <x v="1"/>
    <x v="7"/>
    <x v="1"/>
  </r>
  <r>
    <x v="1196"/>
    <x v="10"/>
    <x v="2"/>
    <x v="234"/>
    <n v="70.5"/>
    <x v="47"/>
    <x v="49"/>
    <x v="1"/>
    <x v="0"/>
    <x v="4"/>
    <x v="0"/>
    <x v="7"/>
    <x v="2"/>
    <x v="7"/>
    <x v="1"/>
  </r>
  <r>
    <x v="1197"/>
    <x v="1"/>
    <x v="1"/>
    <x v="533"/>
    <n v="71.2"/>
    <x v="47"/>
    <x v="56"/>
    <x v="1"/>
    <x v="4"/>
    <x v="0"/>
    <x v="0"/>
    <x v="8"/>
    <x v="0"/>
    <x v="7"/>
    <x v="1"/>
  </r>
  <r>
    <x v="1198"/>
    <x v="1"/>
    <x v="1"/>
    <x v="427"/>
    <n v="127"/>
    <x v="47"/>
    <x v="43"/>
    <x v="2"/>
    <x v="1"/>
    <x v="2"/>
    <x v="0"/>
    <x v="8"/>
    <x v="7"/>
    <x v="7"/>
    <x v="2"/>
  </r>
  <r>
    <x v="1199"/>
    <x v="6"/>
    <x v="3"/>
    <x v="682"/>
    <n v="580.30000000000007"/>
    <x v="47"/>
    <x v="56"/>
    <x v="2"/>
    <x v="4"/>
    <x v="0"/>
    <x v="0"/>
    <x v="9"/>
    <x v="0"/>
    <x v="7"/>
    <x v="2"/>
  </r>
  <r>
    <x v="1200"/>
    <x v="6"/>
    <x v="1"/>
    <x v="331"/>
    <n v="167.2"/>
    <x v="47"/>
    <x v="56"/>
    <x v="2"/>
    <x v="0"/>
    <x v="0"/>
    <x v="0"/>
    <x v="11"/>
    <x v="0"/>
    <x v="7"/>
    <x v="2"/>
  </r>
  <r>
    <x v="1201"/>
    <x v="4"/>
    <x v="1"/>
    <x v="647"/>
    <n v="58.8"/>
    <x v="47"/>
    <x v="43"/>
    <x v="2"/>
    <x v="0"/>
    <x v="1"/>
    <x v="0"/>
    <x v="30"/>
    <x v="7"/>
    <x v="7"/>
    <x v="2"/>
  </r>
  <r>
    <x v="1202"/>
    <x v="2"/>
    <x v="2"/>
    <x v="683"/>
    <n v="321.29999999999995"/>
    <x v="47"/>
    <x v="47"/>
    <x v="2"/>
    <x v="2"/>
    <x v="0"/>
    <x v="0"/>
    <x v="20"/>
    <x v="5"/>
    <x v="7"/>
    <x v="2"/>
  </r>
  <r>
    <x v="1203"/>
    <x v="2"/>
    <x v="0"/>
    <x v="407"/>
    <n v="62.7"/>
    <x v="47"/>
    <x v="47"/>
    <x v="1"/>
    <x v="1"/>
    <x v="0"/>
    <x v="0"/>
    <x v="21"/>
    <x v="5"/>
    <x v="7"/>
    <x v="1"/>
  </r>
  <r>
    <x v="1204"/>
    <x v="11"/>
    <x v="0"/>
    <x v="654"/>
    <n v="41.6"/>
    <x v="47"/>
    <x v="50"/>
    <x v="1"/>
    <x v="0"/>
    <x v="1"/>
    <x v="0"/>
    <x v="1"/>
    <x v="3"/>
    <x v="7"/>
    <x v="1"/>
  </r>
  <r>
    <x v="1205"/>
    <x v="6"/>
    <x v="0"/>
    <x v="236"/>
    <n v="44.2"/>
    <x v="47"/>
    <x v="50"/>
    <x v="3"/>
    <x v="0"/>
    <x v="1"/>
    <x v="0"/>
    <x v="1"/>
    <x v="3"/>
    <x v="7"/>
    <x v="3"/>
  </r>
  <r>
    <x v="1206"/>
    <x v="4"/>
    <x v="13"/>
    <x v="664"/>
    <n v="242.39999999999998"/>
    <x v="47"/>
    <x v="57"/>
    <x v="2"/>
    <x v="2"/>
    <x v="0"/>
    <x v="0"/>
    <x v="22"/>
    <x v="10"/>
    <x v="7"/>
    <x v="2"/>
  </r>
  <r>
    <x v="1207"/>
    <x v="15"/>
    <x v="13"/>
    <x v="684"/>
    <n v="357.6"/>
    <x v="47"/>
    <x v="50"/>
    <x v="2"/>
    <x v="4"/>
    <x v="0"/>
    <x v="0"/>
    <x v="34"/>
    <x v="3"/>
    <x v="7"/>
    <x v="2"/>
  </r>
  <r>
    <x v="1208"/>
    <x v="17"/>
    <x v="4"/>
    <x v="259"/>
    <n v="765.59999999999991"/>
    <x v="47"/>
    <x v="50"/>
    <x v="1"/>
    <x v="1"/>
    <x v="0"/>
    <x v="0"/>
    <x v="3"/>
    <x v="3"/>
    <x v="7"/>
    <x v="1"/>
  </r>
  <r>
    <x v="1209"/>
    <x v="9"/>
    <x v="13"/>
    <x v="607"/>
    <n v="184.8"/>
    <x v="47"/>
    <x v="46"/>
    <x v="1"/>
    <x v="4"/>
    <x v="0"/>
    <x v="0"/>
    <x v="3"/>
    <x v="1"/>
    <x v="7"/>
    <x v="1"/>
  </r>
  <r>
    <x v="1210"/>
    <x v="1"/>
    <x v="1"/>
    <x v="329"/>
    <n v="83"/>
    <x v="47"/>
    <x v="49"/>
    <x v="3"/>
    <x v="0"/>
    <x v="0"/>
    <x v="0"/>
    <x v="3"/>
    <x v="2"/>
    <x v="7"/>
    <x v="3"/>
  </r>
  <r>
    <x v="1211"/>
    <x v="10"/>
    <x v="12"/>
    <x v="613"/>
    <n v="178.8"/>
    <x v="47"/>
    <x v="46"/>
    <x v="2"/>
    <x v="2"/>
    <x v="1"/>
    <x v="0"/>
    <x v="3"/>
    <x v="1"/>
    <x v="7"/>
    <x v="2"/>
  </r>
  <r>
    <x v="1212"/>
    <x v="12"/>
    <x v="1"/>
    <x v="444"/>
    <n v="128.19999999999999"/>
    <x v="47"/>
    <x v="47"/>
    <x v="2"/>
    <x v="1"/>
    <x v="4"/>
    <x v="0"/>
    <x v="3"/>
    <x v="5"/>
    <x v="7"/>
    <x v="2"/>
  </r>
  <r>
    <x v="1213"/>
    <x v="8"/>
    <x v="0"/>
    <x v="496"/>
    <n v="15.9"/>
    <x v="47"/>
    <x v="49"/>
    <x v="0"/>
    <x v="1"/>
    <x v="0"/>
    <x v="0"/>
    <x v="3"/>
    <x v="2"/>
    <x v="7"/>
    <x v="0"/>
  </r>
  <r>
    <x v="1214"/>
    <x v="6"/>
    <x v="1"/>
    <x v="685"/>
    <n v="157.4"/>
    <x v="47"/>
    <x v="43"/>
    <x v="2"/>
    <x v="2"/>
    <x v="1"/>
    <x v="0"/>
    <x v="3"/>
    <x v="7"/>
    <x v="7"/>
    <x v="2"/>
  </r>
  <r>
    <x v="1215"/>
    <x v="5"/>
    <x v="4"/>
    <x v="686"/>
    <n v="355.20000000000005"/>
    <x v="47"/>
    <x v="47"/>
    <x v="1"/>
    <x v="2"/>
    <x v="4"/>
    <x v="0"/>
    <x v="3"/>
    <x v="5"/>
    <x v="7"/>
    <x v="1"/>
  </r>
  <r>
    <x v="1216"/>
    <x v="8"/>
    <x v="12"/>
    <x v="332"/>
    <n v="86"/>
    <x v="47"/>
    <x v="49"/>
    <x v="1"/>
    <x v="1"/>
    <x v="0"/>
    <x v="0"/>
    <x v="3"/>
    <x v="2"/>
    <x v="7"/>
    <x v="1"/>
  </r>
  <r>
    <x v="1217"/>
    <x v="9"/>
    <x v="2"/>
    <x v="285"/>
    <n v="224.70000000000002"/>
    <x v="47"/>
    <x v="52"/>
    <x v="1"/>
    <x v="3"/>
    <x v="1"/>
    <x v="0"/>
    <x v="3"/>
    <x v="8"/>
    <x v="7"/>
    <x v="1"/>
  </r>
  <r>
    <x v="1218"/>
    <x v="10"/>
    <x v="13"/>
    <x v="303"/>
    <n v="270"/>
    <x v="47"/>
    <x v="56"/>
    <x v="2"/>
    <x v="2"/>
    <x v="0"/>
    <x v="0"/>
    <x v="3"/>
    <x v="0"/>
    <x v="7"/>
    <x v="2"/>
  </r>
  <r>
    <x v="1219"/>
    <x v="7"/>
    <x v="33"/>
    <x v="430"/>
    <n v="1288.5999999999999"/>
    <x v="47"/>
    <x v="50"/>
    <x v="1"/>
    <x v="0"/>
    <x v="0"/>
    <x v="0"/>
    <x v="3"/>
    <x v="3"/>
    <x v="7"/>
    <x v="1"/>
  </r>
  <r>
    <x v="1220"/>
    <x v="6"/>
    <x v="2"/>
    <x v="472"/>
    <n v="169.8"/>
    <x v="47"/>
    <x v="50"/>
    <x v="1"/>
    <x v="3"/>
    <x v="0"/>
    <x v="0"/>
    <x v="3"/>
    <x v="3"/>
    <x v="7"/>
    <x v="1"/>
  </r>
  <r>
    <x v="1221"/>
    <x v="3"/>
    <x v="15"/>
    <x v="100"/>
    <n v="1098.5"/>
    <x v="47"/>
    <x v="49"/>
    <x v="2"/>
    <x v="1"/>
    <x v="4"/>
    <x v="0"/>
    <x v="3"/>
    <x v="2"/>
    <x v="7"/>
    <x v="2"/>
  </r>
  <r>
    <x v="1222"/>
    <x v="2"/>
    <x v="9"/>
    <x v="460"/>
    <n v="527"/>
    <x v="47"/>
    <x v="46"/>
    <x v="2"/>
    <x v="1"/>
    <x v="1"/>
    <x v="0"/>
    <x v="3"/>
    <x v="1"/>
    <x v="7"/>
    <x v="2"/>
  </r>
  <r>
    <x v="1223"/>
    <x v="18"/>
    <x v="3"/>
    <x v="632"/>
    <n v="275.8"/>
    <x v="48"/>
    <x v="50"/>
    <x v="1"/>
    <x v="1"/>
    <x v="0"/>
    <x v="0"/>
    <x v="37"/>
    <x v="7"/>
    <x v="7"/>
    <x v="1"/>
  </r>
  <r>
    <x v="1224"/>
    <x v="19"/>
    <x v="2"/>
    <x v="545"/>
    <n v="114"/>
    <x v="48"/>
    <x v="47"/>
    <x v="1"/>
    <x v="4"/>
    <x v="1"/>
    <x v="0"/>
    <x v="6"/>
    <x v="2"/>
    <x v="7"/>
    <x v="1"/>
  </r>
  <r>
    <x v="1225"/>
    <x v="17"/>
    <x v="12"/>
    <x v="687"/>
    <n v="170"/>
    <x v="48"/>
    <x v="49"/>
    <x v="0"/>
    <x v="0"/>
    <x v="0"/>
    <x v="0"/>
    <x v="6"/>
    <x v="1"/>
    <x v="7"/>
    <x v="0"/>
  </r>
  <r>
    <x v="1226"/>
    <x v="15"/>
    <x v="0"/>
    <x v="556"/>
    <n v="62.3"/>
    <x v="48"/>
    <x v="53"/>
    <x v="1"/>
    <x v="0"/>
    <x v="2"/>
    <x v="0"/>
    <x v="6"/>
    <x v="8"/>
    <x v="7"/>
    <x v="1"/>
  </r>
  <r>
    <x v="1227"/>
    <x v="6"/>
    <x v="9"/>
    <x v="182"/>
    <n v="245.5"/>
    <x v="48"/>
    <x v="49"/>
    <x v="2"/>
    <x v="1"/>
    <x v="2"/>
    <x v="0"/>
    <x v="7"/>
    <x v="1"/>
    <x v="7"/>
    <x v="2"/>
  </r>
  <r>
    <x v="1228"/>
    <x v="3"/>
    <x v="1"/>
    <x v="162"/>
    <n v="61"/>
    <x v="48"/>
    <x v="47"/>
    <x v="1"/>
    <x v="0"/>
    <x v="2"/>
    <x v="0"/>
    <x v="8"/>
    <x v="2"/>
    <x v="7"/>
    <x v="1"/>
  </r>
  <r>
    <x v="1229"/>
    <x v="2"/>
    <x v="1"/>
    <x v="688"/>
    <n v="309.60000000000002"/>
    <x v="48"/>
    <x v="47"/>
    <x v="2"/>
    <x v="1"/>
    <x v="4"/>
    <x v="0"/>
    <x v="8"/>
    <x v="2"/>
    <x v="7"/>
    <x v="2"/>
  </r>
  <r>
    <x v="1230"/>
    <x v="6"/>
    <x v="0"/>
    <x v="303"/>
    <n v="45"/>
    <x v="48"/>
    <x v="56"/>
    <x v="1"/>
    <x v="3"/>
    <x v="1"/>
    <x v="0"/>
    <x v="8"/>
    <x v="5"/>
    <x v="7"/>
    <x v="1"/>
  </r>
  <r>
    <x v="1231"/>
    <x v="0"/>
    <x v="3"/>
    <x v="678"/>
    <n v="107.10000000000001"/>
    <x v="48"/>
    <x v="46"/>
    <x v="1"/>
    <x v="0"/>
    <x v="2"/>
    <x v="0"/>
    <x v="8"/>
    <x v="3"/>
    <x v="7"/>
    <x v="1"/>
  </r>
  <r>
    <x v="1232"/>
    <x v="2"/>
    <x v="5"/>
    <x v="689"/>
    <n v="974.59999999999991"/>
    <x v="48"/>
    <x v="47"/>
    <x v="2"/>
    <x v="0"/>
    <x v="4"/>
    <x v="0"/>
    <x v="17"/>
    <x v="2"/>
    <x v="7"/>
    <x v="2"/>
  </r>
  <r>
    <x v="1233"/>
    <x v="9"/>
    <x v="1"/>
    <x v="235"/>
    <n v="99.4"/>
    <x v="48"/>
    <x v="49"/>
    <x v="3"/>
    <x v="4"/>
    <x v="0"/>
    <x v="0"/>
    <x v="10"/>
    <x v="1"/>
    <x v="7"/>
    <x v="3"/>
  </r>
  <r>
    <x v="1234"/>
    <x v="10"/>
    <x v="0"/>
    <x v="690"/>
    <n v="29"/>
    <x v="48"/>
    <x v="46"/>
    <x v="1"/>
    <x v="0"/>
    <x v="0"/>
    <x v="0"/>
    <x v="11"/>
    <x v="3"/>
    <x v="7"/>
    <x v="1"/>
  </r>
  <r>
    <x v="1235"/>
    <x v="1"/>
    <x v="0"/>
    <x v="552"/>
    <n v="60.7"/>
    <x v="48"/>
    <x v="46"/>
    <x v="3"/>
    <x v="0"/>
    <x v="1"/>
    <x v="0"/>
    <x v="11"/>
    <x v="3"/>
    <x v="7"/>
    <x v="3"/>
  </r>
  <r>
    <x v="1236"/>
    <x v="17"/>
    <x v="12"/>
    <x v="691"/>
    <n v="349.6"/>
    <x v="48"/>
    <x v="49"/>
    <x v="0"/>
    <x v="0"/>
    <x v="0"/>
    <x v="0"/>
    <x v="11"/>
    <x v="1"/>
    <x v="7"/>
    <x v="0"/>
  </r>
  <r>
    <x v="1237"/>
    <x v="4"/>
    <x v="3"/>
    <x v="239"/>
    <n v="311.5"/>
    <x v="48"/>
    <x v="56"/>
    <x v="2"/>
    <x v="2"/>
    <x v="2"/>
    <x v="0"/>
    <x v="19"/>
    <x v="5"/>
    <x v="7"/>
    <x v="2"/>
  </r>
  <r>
    <x v="1238"/>
    <x v="2"/>
    <x v="0"/>
    <x v="692"/>
    <n v="141"/>
    <x v="48"/>
    <x v="46"/>
    <x v="1"/>
    <x v="4"/>
    <x v="2"/>
    <x v="0"/>
    <x v="19"/>
    <x v="3"/>
    <x v="7"/>
    <x v="1"/>
  </r>
  <r>
    <x v="1239"/>
    <x v="0"/>
    <x v="2"/>
    <x v="569"/>
    <n v="50.099999999999994"/>
    <x v="48"/>
    <x v="52"/>
    <x v="2"/>
    <x v="0"/>
    <x v="0"/>
    <x v="0"/>
    <x v="20"/>
    <x v="9"/>
    <x v="7"/>
    <x v="2"/>
  </r>
  <r>
    <x v="1240"/>
    <x v="1"/>
    <x v="1"/>
    <x v="693"/>
    <n v="155"/>
    <x v="48"/>
    <x v="46"/>
    <x v="0"/>
    <x v="2"/>
    <x v="2"/>
    <x v="0"/>
    <x v="13"/>
    <x v="3"/>
    <x v="7"/>
    <x v="0"/>
  </r>
  <r>
    <x v="1241"/>
    <x v="2"/>
    <x v="1"/>
    <x v="694"/>
    <n v="326"/>
    <x v="48"/>
    <x v="54"/>
    <x v="2"/>
    <x v="4"/>
    <x v="0"/>
    <x v="0"/>
    <x v="21"/>
    <x v="4"/>
    <x v="7"/>
    <x v="2"/>
  </r>
  <r>
    <x v="1242"/>
    <x v="4"/>
    <x v="11"/>
    <x v="302"/>
    <n v="192.6"/>
    <x v="48"/>
    <x v="47"/>
    <x v="2"/>
    <x v="0"/>
    <x v="0"/>
    <x v="0"/>
    <x v="51"/>
    <x v="2"/>
    <x v="7"/>
    <x v="2"/>
  </r>
  <r>
    <x v="1243"/>
    <x v="10"/>
    <x v="5"/>
    <x v="452"/>
    <n v="341"/>
    <x v="48"/>
    <x v="49"/>
    <x v="2"/>
    <x v="3"/>
    <x v="2"/>
    <x v="0"/>
    <x v="1"/>
    <x v="1"/>
    <x v="7"/>
    <x v="2"/>
  </r>
  <r>
    <x v="1244"/>
    <x v="7"/>
    <x v="1"/>
    <x v="695"/>
    <n v="68.599999999999994"/>
    <x v="48"/>
    <x v="49"/>
    <x v="2"/>
    <x v="0"/>
    <x v="3"/>
    <x v="0"/>
    <x v="1"/>
    <x v="1"/>
    <x v="7"/>
    <x v="2"/>
  </r>
  <r>
    <x v="1245"/>
    <x v="17"/>
    <x v="9"/>
    <x v="297"/>
    <n v="241"/>
    <x v="48"/>
    <x v="46"/>
    <x v="1"/>
    <x v="1"/>
    <x v="1"/>
    <x v="0"/>
    <x v="2"/>
    <x v="3"/>
    <x v="7"/>
    <x v="1"/>
  </r>
  <r>
    <x v="1246"/>
    <x v="10"/>
    <x v="0"/>
    <x v="258"/>
    <n v="51.4"/>
    <x v="48"/>
    <x v="46"/>
    <x v="1"/>
    <x v="0"/>
    <x v="0"/>
    <x v="0"/>
    <x v="3"/>
    <x v="3"/>
    <x v="7"/>
    <x v="1"/>
  </r>
  <r>
    <x v="1247"/>
    <x v="2"/>
    <x v="9"/>
    <x v="696"/>
    <n v="586"/>
    <x v="48"/>
    <x v="47"/>
    <x v="2"/>
    <x v="4"/>
    <x v="4"/>
    <x v="0"/>
    <x v="3"/>
    <x v="2"/>
    <x v="7"/>
    <x v="2"/>
  </r>
  <r>
    <x v="1248"/>
    <x v="8"/>
    <x v="0"/>
    <x v="202"/>
    <n v="38.1"/>
    <x v="48"/>
    <x v="50"/>
    <x v="1"/>
    <x v="4"/>
    <x v="1"/>
    <x v="0"/>
    <x v="3"/>
    <x v="7"/>
    <x v="7"/>
    <x v="1"/>
  </r>
  <r>
    <x v="1249"/>
    <x v="0"/>
    <x v="1"/>
    <x v="369"/>
    <n v="88.2"/>
    <x v="48"/>
    <x v="49"/>
    <x v="2"/>
    <x v="2"/>
    <x v="0"/>
    <x v="0"/>
    <x v="3"/>
    <x v="1"/>
    <x v="7"/>
    <x v="2"/>
  </r>
  <r>
    <x v="1250"/>
    <x v="15"/>
    <x v="12"/>
    <x v="697"/>
    <n v="322"/>
    <x v="48"/>
    <x v="55"/>
    <x v="1"/>
    <x v="0"/>
    <x v="0"/>
    <x v="0"/>
    <x v="3"/>
    <x v="0"/>
    <x v="7"/>
    <x v="1"/>
  </r>
  <r>
    <x v="1251"/>
    <x v="18"/>
    <x v="12"/>
    <x v="570"/>
    <n v="134.4"/>
    <x v="48"/>
    <x v="55"/>
    <x v="0"/>
    <x v="0"/>
    <x v="2"/>
    <x v="0"/>
    <x v="3"/>
    <x v="0"/>
    <x v="7"/>
    <x v="0"/>
  </r>
  <r>
    <x v="1252"/>
    <x v="9"/>
    <x v="11"/>
    <x v="80"/>
    <n v="376.2"/>
    <x v="48"/>
    <x v="46"/>
    <x v="2"/>
    <x v="0"/>
    <x v="1"/>
    <x v="0"/>
    <x v="3"/>
    <x v="3"/>
    <x v="7"/>
    <x v="2"/>
  </r>
  <r>
    <x v="1253"/>
    <x v="1"/>
    <x v="1"/>
    <x v="698"/>
    <n v="212.4"/>
    <x v="48"/>
    <x v="50"/>
    <x v="2"/>
    <x v="4"/>
    <x v="2"/>
    <x v="0"/>
    <x v="3"/>
    <x v="7"/>
    <x v="7"/>
    <x v="2"/>
  </r>
  <r>
    <x v="1254"/>
    <x v="1"/>
    <x v="1"/>
    <x v="699"/>
    <n v="105.2"/>
    <x v="48"/>
    <x v="46"/>
    <x v="2"/>
    <x v="0"/>
    <x v="2"/>
    <x v="0"/>
    <x v="5"/>
    <x v="3"/>
    <x v="7"/>
    <x v="2"/>
  </r>
  <r>
    <x v="1255"/>
    <x v="11"/>
    <x v="3"/>
    <x v="419"/>
    <n v="479.5"/>
    <x v="48"/>
    <x v="46"/>
    <x v="2"/>
    <x v="1"/>
    <x v="0"/>
    <x v="0"/>
    <x v="5"/>
    <x v="3"/>
    <x v="7"/>
    <x v="2"/>
  </r>
  <r>
    <x v="1256"/>
    <x v="1"/>
    <x v="1"/>
    <x v="495"/>
    <n v="111.2"/>
    <x v="48"/>
    <x v="49"/>
    <x v="1"/>
    <x v="1"/>
    <x v="2"/>
    <x v="0"/>
    <x v="6"/>
    <x v="1"/>
    <x v="7"/>
    <x v="1"/>
  </r>
  <r>
    <x v="1257"/>
    <x v="2"/>
    <x v="2"/>
    <x v="700"/>
    <n v="404.70000000000005"/>
    <x v="48"/>
    <x v="46"/>
    <x v="1"/>
    <x v="1"/>
    <x v="1"/>
    <x v="0"/>
    <x v="6"/>
    <x v="3"/>
    <x v="7"/>
    <x v="1"/>
  </r>
  <r>
    <x v="1258"/>
    <x v="10"/>
    <x v="9"/>
    <x v="325"/>
    <n v="213"/>
    <x v="48"/>
    <x v="46"/>
    <x v="1"/>
    <x v="0"/>
    <x v="0"/>
    <x v="0"/>
    <x v="6"/>
    <x v="3"/>
    <x v="7"/>
    <x v="1"/>
  </r>
  <r>
    <x v="1259"/>
    <x v="7"/>
    <x v="9"/>
    <x v="701"/>
    <n v="303"/>
    <x v="48"/>
    <x v="49"/>
    <x v="1"/>
    <x v="4"/>
    <x v="0"/>
    <x v="0"/>
    <x v="6"/>
    <x v="1"/>
    <x v="7"/>
    <x v="1"/>
  </r>
  <r>
    <x v="1260"/>
    <x v="8"/>
    <x v="1"/>
    <x v="347"/>
    <n v="87"/>
    <x v="48"/>
    <x v="46"/>
    <x v="1"/>
    <x v="4"/>
    <x v="0"/>
    <x v="0"/>
    <x v="7"/>
    <x v="3"/>
    <x v="7"/>
    <x v="1"/>
  </r>
  <r>
    <x v="1261"/>
    <x v="2"/>
    <x v="1"/>
    <x v="702"/>
    <n v="374.2"/>
    <x v="48"/>
    <x v="46"/>
    <x v="1"/>
    <x v="1"/>
    <x v="2"/>
    <x v="0"/>
    <x v="8"/>
    <x v="3"/>
    <x v="7"/>
    <x v="1"/>
  </r>
  <r>
    <x v="1262"/>
    <x v="9"/>
    <x v="2"/>
    <x v="34"/>
    <n v="96"/>
    <x v="48"/>
    <x v="49"/>
    <x v="1"/>
    <x v="0"/>
    <x v="0"/>
    <x v="0"/>
    <x v="8"/>
    <x v="1"/>
    <x v="7"/>
    <x v="1"/>
  </r>
  <r>
    <x v="1263"/>
    <x v="9"/>
    <x v="1"/>
    <x v="703"/>
    <n v="221.6"/>
    <x v="48"/>
    <x v="50"/>
    <x v="1"/>
    <x v="0"/>
    <x v="2"/>
    <x v="0"/>
    <x v="8"/>
    <x v="7"/>
    <x v="7"/>
    <x v="1"/>
  </r>
  <r>
    <x v="1264"/>
    <x v="10"/>
    <x v="15"/>
    <x v="160"/>
    <n v="469.3"/>
    <x v="48"/>
    <x v="47"/>
    <x v="2"/>
    <x v="0"/>
    <x v="1"/>
    <x v="0"/>
    <x v="8"/>
    <x v="2"/>
    <x v="7"/>
    <x v="2"/>
  </r>
  <r>
    <x v="1265"/>
    <x v="0"/>
    <x v="0"/>
    <x v="661"/>
    <n v="24.1"/>
    <x v="48"/>
    <x v="49"/>
    <x v="2"/>
    <x v="4"/>
    <x v="2"/>
    <x v="0"/>
    <x v="8"/>
    <x v="1"/>
    <x v="7"/>
    <x v="2"/>
  </r>
  <r>
    <x v="1266"/>
    <x v="19"/>
    <x v="2"/>
    <x v="162"/>
    <n v="91.5"/>
    <x v="48"/>
    <x v="49"/>
    <x v="1"/>
    <x v="1"/>
    <x v="0"/>
    <x v="0"/>
    <x v="8"/>
    <x v="1"/>
    <x v="7"/>
    <x v="1"/>
  </r>
  <r>
    <x v="1267"/>
    <x v="18"/>
    <x v="13"/>
    <x v="704"/>
    <n v="409.79999999999995"/>
    <x v="48"/>
    <x v="47"/>
    <x v="1"/>
    <x v="0"/>
    <x v="0"/>
    <x v="0"/>
    <x v="8"/>
    <x v="2"/>
    <x v="7"/>
    <x v="1"/>
  </r>
  <r>
    <x v="1268"/>
    <x v="7"/>
    <x v="2"/>
    <x v="705"/>
    <n v="129.89999999999998"/>
    <x v="48"/>
    <x v="56"/>
    <x v="2"/>
    <x v="0"/>
    <x v="0"/>
    <x v="0"/>
    <x v="17"/>
    <x v="5"/>
    <x v="7"/>
    <x v="2"/>
  </r>
  <r>
    <x v="1269"/>
    <x v="3"/>
    <x v="0"/>
    <x v="435"/>
    <n v="101.7"/>
    <x v="48"/>
    <x v="47"/>
    <x v="2"/>
    <x v="0"/>
    <x v="1"/>
    <x v="0"/>
    <x v="17"/>
    <x v="2"/>
    <x v="7"/>
    <x v="2"/>
  </r>
  <r>
    <x v="1270"/>
    <x v="11"/>
    <x v="1"/>
    <x v="706"/>
    <n v="108.4"/>
    <x v="48"/>
    <x v="46"/>
    <x v="2"/>
    <x v="0"/>
    <x v="1"/>
    <x v="0"/>
    <x v="17"/>
    <x v="3"/>
    <x v="7"/>
    <x v="2"/>
  </r>
  <r>
    <x v="1271"/>
    <x v="16"/>
    <x v="1"/>
    <x v="707"/>
    <n v="102"/>
    <x v="48"/>
    <x v="50"/>
    <x v="1"/>
    <x v="1"/>
    <x v="0"/>
    <x v="0"/>
    <x v="26"/>
    <x v="7"/>
    <x v="7"/>
    <x v="1"/>
  </r>
  <r>
    <x v="1272"/>
    <x v="4"/>
    <x v="1"/>
    <x v="59"/>
    <n v="46.2"/>
    <x v="48"/>
    <x v="47"/>
    <x v="1"/>
    <x v="1"/>
    <x v="0"/>
    <x v="0"/>
    <x v="10"/>
    <x v="2"/>
    <x v="7"/>
    <x v="1"/>
  </r>
  <r>
    <x v="1273"/>
    <x v="12"/>
    <x v="13"/>
    <x v="110"/>
    <n v="360.6"/>
    <x v="48"/>
    <x v="50"/>
    <x v="2"/>
    <x v="3"/>
    <x v="0"/>
    <x v="0"/>
    <x v="11"/>
    <x v="7"/>
    <x v="7"/>
    <x v="2"/>
  </r>
  <r>
    <x v="1274"/>
    <x v="2"/>
    <x v="3"/>
    <x v="241"/>
    <n v="612.5"/>
    <x v="48"/>
    <x v="49"/>
    <x v="2"/>
    <x v="0"/>
    <x v="1"/>
    <x v="0"/>
    <x v="11"/>
    <x v="1"/>
    <x v="7"/>
    <x v="2"/>
  </r>
  <r>
    <x v="1275"/>
    <x v="1"/>
    <x v="2"/>
    <x v="707"/>
    <n v="153"/>
    <x v="48"/>
    <x v="46"/>
    <x v="2"/>
    <x v="1"/>
    <x v="0"/>
    <x v="0"/>
    <x v="11"/>
    <x v="3"/>
    <x v="7"/>
    <x v="2"/>
  </r>
  <r>
    <x v="1276"/>
    <x v="8"/>
    <x v="12"/>
    <x v="359"/>
    <n v="76.8"/>
    <x v="48"/>
    <x v="49"/>
    <x v="2"/>
    <x v="0"/>
    <x v="0"/>
    <x v="0"/>
    <x v="11"/>
    <x v="1"/>
    <x v="7"/>
    <x v="2"/>
  </r>
  <r>
    <x v="1277"/>
    <x v="5"/>
    <x v="8"/>
    <x v="38"/>
    <n v="212"/>
    <x v="48"/>
    <x v="46"/>
    <x v="0"/>
    <x v="3"/>
    <x v="2"/>
    <x v="0"/>
    <x v="11"/>
    <x v="3"/>
    <x v="7"/>
    <x v="0"/>
  </r>
  <r>
    <x v="1278"/>
    <x v="2"/>
    <x v="1"/>
    <x v="708"/>
    <n v="440.6"/>
    <x v="48"/>
    <x v="46"/>
    <x v="2"/>
    <x v="1"/>
    <x v="4"/>
    <x v="0"/>
    <x v="53"/>
    <x v="3"/>
    <x v="7"/>
    <x v="2"/>
  </r>
  <r>
    <x v="1279"/>
    <x v="8"/>
    <x v="2"/>
    <x v="108"/>
    <n v="137.10000000000002"/>
    <x v="48"/>
    <x v="46"/>
    <x v="2"/>
    <x v="4"/>
    <x v="0"/>
    <x v="0"/>
    <x v="30"/>
    <x v="3"/>
    <x v="7"/>
    <x v="2"/>
  </r>
  <r>
    <x v="1280"/>
    <x v="5"/>
    <x v="9"/>
    <x v="344"/>
    <n v="235.5"/>
    <x v="48"/>
    <x v="56"/>
    <x v="2"/>
    <x v="3"/>
    <x v="0"/>
    <x v="0"/>
    <x v="13"/>
    <x v="5"/>
    <x v="7"/>
    <x v="2"/>
  </r>
  <r>
    <x v="1281"/>
    <x v="1"/>
    <x v="9"/>
    <x v="521"/>
    <n v="408.5"/>
    <x v="48"/>
    <x v="46"/>
    <x v="2"/>
    <x v="0"/>
    <x v="2"/>
    <x v="0"/>
    <x v="21"/>
    <x v="3"/>
    <x v="7"/>
    <x v="2"/>
  </r>
  <r>
    <x v="1282"/>
    <x v="6"/>
    <x v="7"/>
    <x v="709"/>
    <n v="978"/>
    <x v="48"/>
    <x v="50"/>
    <x v="1"/>
    <x v="1"/>
    <x v="1"/>
    <x v="0"/>
    <x v="21"/>
    <x v="7"/>
    <x v="7"/>
    <x v="1"/>
  </r>
  <r>
    <x v="1283"/>
    <x v="6"/>
    <x v="2"/>
    <x v="394"/>
    <n v="127.19999999999999"/>
    <x v="48"/>
    <x v="46"/>
    <x v="2"/>
    <x v="0"/>
    <x v="2"/>
    <x v="0"/>
    <x v="54"/>
    <x v="3"/>
    <x v="7"/>
    <x v="2"/>
  </r>
  <r>
    <x v="1284"/>
    <x v="2"/>
    <x v="7"/>
    <x v="417"/>
    <n v="745"/>
    <x v="48"/>
    <x v="46"/>
    <x v="1"/>
    <x v="2"/>
    <x v="1"/>
    <x v="0"/>
    <x v="1"/>
    <x v="3"/>
    <x v="7"/>
    <x v="1"/>
  </r>
  <r>
    <x v="1285"/>
    <x v="17"/>
    <x v="13"/>
    <x v="68"/>
    <n v="284.39999999999998"/>
    <x v="48"/>
    <x v="46"/>
    <x v="1"/>
    <x v="1"/>
    <x v="0"/>
    <x v="0"/>
    <x v="1"/>
    <x v="3"/>
    <x v="7"/>
    <x v="1"/>
  </r>
  <r>
    <x v="1286"/>
    <x v="14"/>
    <x v="2"/>
    <x v="161"/>
    <n v="51.900000000000006"/>
    <x v="49"/>
    <x v="56"/>
    <x v="1"/>
    <x v="2"/>
    <x v="2"/>
    <x v="0"/>
    <x v="1"/>
    <x v="2"/>
    <x v="7"/>
    <x v="1"/>
  </r>
  <r>
    <x v="1287"/>
    <x v="12"/>
    <x v="12"/>
    <x v="710"/>
    <n v="311.60000000000002"/>
    <x v="49"/>
    <x v="49"/>
    <x v="1"/>
    <x v="1"/>
    <x v="0"/>
    <x v="0"/>
    <x v="2"/>
    <x v="3"/>
    <x v="7"/>
    <x v="1"/>
  </r>
  <r>
    <x v="1288"/>
    <x v="8"/>
    <x v="0"/>
    <x v="581"/>
    <n v="29.1"/>
    <x v="49"/>
    <x v="56"/>
    <x v="1"/>
    <x v="0"/>
    <x v="2"/>
    <x v="0"/>
    <x v="50"/>
    <x v="2"/>
    <x v="7"/>
    <x v="1"/>
  </r>
  <r>
    <x v="1289"/>
    <x v="8"/>
    <x v="0"/>
    <x v="11"/>
    <n v="49"/>
    <x v="49"/>
    <x v="49"/>
    <x v="1"/>
    <x v="1"/>
    <x v="0"/>
    <x v="0"/>
    <x v="3"/>
    <x v="3"/>
    <x v="7"/>
    <x v="1"/>
  </r>
  <r>
    <x v="1290"/>
    <x v="8"/>
    <x v="13"/>
    <x v="438"/>
    <n v="126.60000000000001"/>
    <x v="49"/>
    <x v="52"/>
    <x v="1"/>
    <x v="0"/>
    <x v="2"/>
    <x v="0"/>
    <x v="3"/>
    <x v="6"/>
    <x v="7"/>
    <x v="1"/>
  </r>
  <r>
    <x v="1291"/>
    <x v="4"/>
    <x v="10"/>
    <x v="711"/>
    <n v="701.1"/>
    <x v="49"/>
    <x v="46"/>
    <x v="2"/>
    <x v="0"/>
    <x v="0"/>
    <x v="0"/>
    <x v="3"/>
    <x v="7"/>
    <x v="7"/>
    <x v="2"/>
  </r>
  <r>
    <x v="1292"/>
    <x v="1"/>
    <x v="7"/>
    <x v="109"/>
    <n v="926"/>
    <x v="49"/>
    <x v="54"/>
    <x v="1"/>
    <x v="4"/>
    <x v="2"/>
    <x v="0"/>
    <x v="3"/>
    <x v="0"/>
    <x v="7"/>
    <x v="1"/>
  </r>
  <r>
    <x v="1293"/>
    <x v="10"/>
    <x v="1"/>
    <x v="545"/>
    <n v="76"/>
    <x v="49"/>
    <x v="49"/>
    <x v="1"/>
    <x v="1"/>
    <x v="1"/>
    <x v="0"/>
    <x v="3"/>
    <x v="3"/>
    <x v="7"/>
    <x v="1"/>
  </r>
  <r>
    <x v="1294"/>
    <x v="5"/>
    <x v="2"/>
    <x v="76"/>
    <n v="164.39999999999998"/>
    <x v="49"/>
    <x v="55"/>
    <x v="0"/>
    <x v="0"/>
    <x v="1"/>
    <x v="0"/>
    <x v="3"/>
    <x v="5"/>
    <x v="7"/>
    <x v="0"/>
  </r>
  <r>
    <x v="1295"/>
    <x v="10"/>
    <x v="4"/>
    <x v="382"/>
    <n v="681.59999999999991"/>
    <x v="49"/>
    <x v="47"/>
    <x v="1"/>
    <x v="1"/>
    <x v="0"/>
    <x v="0"/>
    <x v="3"/>
    <x v="1"/>
    <x v="7"/>
    <x v="1"/>
  </r>
  <r>
    <x v="1296"/>
    <x v="11"/>
    <x v="40"/>
    <x v="550"/>
    <n v="1557.6000000000001"/>
    <x v="49"/>
    <x v="56"/>
    <x v="2"/>
    <x v="1"/>
    <x v="0"/>
    <x v="0"/>
    <x v="3"/>
    <x v="2"/>
    <x v="7"/>
    <x v="2"/>
  </r>
  <r>
    <x v="1297"/>
    <x v="7"/>
    <x v="13"/>
    <x v="226"/>
    <n v="270.60000000000002"/>
    <x v="49"/>
    <x v="49"/>
    <x v="2"/>
    <x v="2"/>
    <x v="0"/>
    <x v="0"/>
    <x v="43"/>
    <x v="3"/>
    <x v="7"/>
    <x v="2"/>
  </r>
  <r>
    <x v="1298"/>
    <x v="4"/>
    <x v="4"/>
    <x v="19"/>
    <n v="302.39999999999998"/>
    <x v="49"/>
    <x v="54"/>
    <x v="2"/>
    <x v="2"/>
    <x v="0"/>
    <x v="0"/>
    <x v="16"/>
    <x v="0"/>
    <x v="7"/>
    <x v="2"/>
  </r>
  <r>
    <x v="1299"/>
    <x v="8"/>
    <x v="0"/>
    <x v="595"/>
    <n v="22"/>
    <x v="49"/>
    <x v="49"/>
    <x v="2"/>
    <x v="0"/>
    <x v="0"/>
    <x v="0"/>
    <x v="5"/>
    <x v="3"/>
    <x v="7"/>
    <x v="2"/>
  </r>
  <r>
    <x v="1300"/>
    <x v="6"/>
    <x v="1"/>
    <x v="567"/>
    <n v="84.4"/>
    <x v="49"/>
    <x v="49"/>
    <x v="2"/>
    <x v="1"/>
    <x v="1"/>
    <x v="0"/>
    <x v="23"/>
    <x v="3"/>
    <x v="7"/>
    <x v="2"/>
  </r>
  <r>
    <x v="1301"/>
    <x v="13"/>
    <x v="2"/>
    <x v="580"/>
    <n v="61.5"/>
    <x v="49"/>
    <x v="49"/>
    <x v="1"/>
    <x v="0"/>
    <x v="1"/>
    <x v="0"/>
    <x v="6"/>
    <x v="3"/>
    <x v="7"/>
    <x v="1"/>
  </r>
  <r>
    <x v="1302"/>
    <x v="2"/>
    <x v="0"/>
    <x v="712"/>
    <n v="190.4"/>
    <x v="49"/>
    <x v="54"/>
    <x v="1"/>
    <x v="1"/>
    <x v="4"/>
    <x v="0"/>
    <x v="6"/>
    <x v="0"/>
    <x v="7"/>
    <x v="1"/>
  </r>
  <r>
    <x v="1303"/>
    <x v="2"/>
    <x v="0"/>
    <x v="713"/>
    <n v="121.9"/>
    <x v="49"/>
    <x v="47"/>
    <x v="2"/>
    <x v="1"/>
    <x v="2"/>
    <x v="0"/>
    <x v="6"/>
    <x v="1"/>
    <x v="7"/>
    <x v="2"/>
  </r>
  <r>
    <x v="1304"/>
    <x v="2"/>
    <x v="13"/>
    <x v="714"/>
    <n v="895.19999999999993"/>
    <x v="49"/>
    <x v="49"/>
    <x v="2"/>
    <x v="2"/>
    <x v="2"/>
    <x v="0"/>
    <x v="7"/>
    <x v="3"/>
    <x v="7"/>
    <x v="2"/>
  </r>
  <r>
    <x v="1305"/>
    <x v="2"/>
    <x v="0"/>
    <x v="715"/>
    <n v="54.1"/>
    <x v="49"/>
    <x v="58"/>
    <x v="2"/>
    <x v="2"/>
    <x v="2"/>
    <x v="0"/>
    <x v="7"/>
    <x v="8"/>
    <x v="7"/>
    <x v="2"/>
  </r>
  <r>
    <x v="1306"/>
    <x v="5"/>
    <x v="1"/>
    <x v="336"/>
    <n v="54.8"/>
    <x v="49"/>
    <x v="47"/>
    <x v="1"/>
    <x v="1"/>
    <x v="0"/>
    <x v="0"/>
    <x v="8"/>
    <x v="1"/>
    <x v="7"/>
    <x v="1"/>
  </r>
  <r>
    <x v="1307"/>
    <x v="0"/>
    <x v="15"/>
    <x v="248"/>
    <n v="395.2"/>
    <x v="49"/>
    <x v="49"/>
    <x v="2"/>
    <x v="0"/>
    <x v="2"/>
    <x v="0"/>
    <x v="8"/>
    <x v="3"/>
    <x v="7"/>
    <x v="2"/>
  </r>
  <r>
    <x v="1308"/>
    <x v="12"/>
    <x v="2"/>
    <x v="193"/>
    <n v="138.60000000000002"/>
    <x v="49"/>
    <x v="47"/>
    <x v="1"/>
    <x v="2"/>
    <x v="1"/>
    <x v="0"/>
    <x v="17"/>
    <x v="1"/>
    <x v="7"/>
    <x v="1"/>
  </r>
  <r>
    <x v="1309"/>
    <x v="7"/>
    <x v="8"/>
    <x v="716"/>
    <n v="628.79999999999995"/>
    <x v="49"/>
    <x v="55"/>
    <x v="1"/>
    <x v="3"/>
    <x v="0"/>
    <x v="0"/>
    <x v="17"/>
    <x v="5"/>
    <x v="7"/>
    <x v="1"/>
  </r>
  <r>
    <x v="1310"/>
    <x v="17"/>
    <x v="7"/>
    <x v="122"/>
    <n v="259"/>
    <x v="49"/>
    <x v="51"/>
    <x v="1"/>
    <x v="4"/>
    <x v="0"/>
    <x v="0"/>
    <x v="9"/>
    <x v="4"/>
    <x v="7"/>
    <x v="1"/>
  </r>
  <r>
    <x v="1311"/>
    <x v="6"/>
    <x v="0"/>
    <x v="717"/>
    <n v="134.80000000000001"/>
    <x v="49"/>
    <x v="47"/>
    <x v="1"/>
    <x v="2"/>
    <x v="2"/>
    <x v="0"/>
    <x v="9"/>
    <x v="1"/>
    <x v="7"/>
    <x v="1"/>
  </r>
  <r>
    <x v="1312"/>
    <x v="15"/>
    <x v="9"/>
    <x v="39"/>
    <n v="215.5"/>
    <x v="49"/>
    <x v="47"/>
    <x v="2"/>
    <x v="0"/>
    <x v="0"/>
    <x v="0"/>
    <x v="11"/>
    <x v="1"/>
    <x v="7"/>
    <x v="2"/>
  </r>
  <r>
    <x v="1313"/>
    <x v="2"/>
    <x v="1"/>
    <x v="718"/>
    <n v="431.2"/>
    <x v="49"/>
    <x v="49"/>
    <x v="2"/>
    <x v="2"/>
    <x v="0"/>
    <x v="0"/>
    <x v="18"/>
    <x v="3"/>
    <x v="7"/>
    <x v="2"/>
  </r>
  <r>
    <x v="1314"/>
    <x v="6"/>
    <x v="1"/>
    <x v="41"/>
    <n v="161.4"/>
    <x v="49"/>
    <x v="56"/>
    <x v="2"/>
    <x v="3"/>
    <x v="0"/>
    <x v="0"/>
    <x v="18"/>
    <x v="2"/>
    <x v="7"/>
    <x v="2"/>
  </r>
  <r>
    <x v="1315"/>
    <x v="10"/>
    <x v="3"/>
    <x v="468"/>
    <n v="144.20000000000002"/>
    <x v="49"/>
    <x v="54"/>
    <x v="0"/>
    <x v="2"/>
    <x v="1"/>
    <x v="0"/>
    <x v="19"/>
    <x v="0"/>
    <x v="7"/>
    <x v="0"/>
  </r>
  <r>
    <x v="1316"/>
    <x v="12"/>
    <x v="2"/>
    <x v="719"/>
    <n v="111.30000000000001"/>
    <x v="49"/>
    <x v="49"/>
    <x v="2"/>
    <x v="0"/>
    <x v="0"/>
    <x v="0"/>
    <x v="52"/>
    <x v="3"/>
    <x v="7"/>
    <x v="2"/>
  </r>
  <r>
    <x v="1317"/>
    <x v="12"/>
    <x v="0"/>
    <x v="720"/>
    <n v="104.8"/>
    <x v="50"/>
    <x v="56"/>
    <x v="2"/>
    <x v="0"/>
    <x v="0"/>
    <x v="0"/>
    <x v="13"/>
    <x v="1"/>
    <x v="7"/>
    <x v="2"/>
  </r>
  <r>
    <x v="1318"/>
    <x v="8"/>
    <x v="1"/>
    <x v="721"/>
    <n v="118"/>
    <x v="50"/>
    <x v="47"/>
    <x v="1"/>
    <x v="1"/>
    <x v="0"/>
    <x v="0"/>
    <x v="21"/>
    <x v="3"/>
    <x v="7"/>
    <x v="1"/>
  </r>
  <r>
    <x v="1319"/>
    <x v="8"/>
    <x v="1"/>
    <x v="240"/>
    <n v="64.599999999999994"/>
    <x v="50"/>
    <x v="47"/>
    <x v="1"/>
    <x v="0"/>
    <x v="2"/>
    <x v="0"/>
    <x v="21"/>
    <x v="3"/>
    <x v="7"/>
    <x v="1"/>
  </r>
  <r>
    <x v="1320"/>
    <x v="8"/>
    <x v="12"/>
    <x v="538"/>
    <n v="115.6"/>
    <x v="50"/>
    <x v="53"/>
    <x v="1"/>
    <x v="0"/>
    <x v="0"/>
    <x v="0"/>
    <x v="1"/>
    <x v="6"/>
    <x v="7"/>
    <x v="1"/>
  </r>
  <r>
    <x v="1321"/>
    <x v="0"/>
    <x v="1"/>
    <x v="686"/>
    <n v="59.2"/>
    <x v="50"/>
    <x v="56"/>
    <x v="1"/>
    <x v="0"/>
    <x v="0"/>
    <x v="0"/>
    <x v="1"/>
    <x v="1"/>
    <x v="7"/>
    <x v="1"/>
  </r>
  <r>
    <x v="1322"/>
    <x v="0"/>
    <x v="9"/>
    <x v="647"/>
    <n v="147"/>
    <x v="50"/>
    <x v="55"/>
    <x v="2"/>
    <x v="0"/>
    <x v="0"/>
    <x v="0"/>
    <x v="1"/>
    <x v="2"/>
    <x v="7"/>
    <x v="2"/>
  </r>
  <r>
    <x v="1323"/>
    <x v="1"/>
    <x v="1"/>
    <x v="722"/>
    <n v="81.2"/>
    <x v="50"/>
    <x v="47"/>
    <x v="1"/>
    <x v="0"/>
    <x v="4"/>
    <x v="0"/>
    <x v="2"/>
    <x v="3"/>
    <x v="7"/>
    <x v="1"/>
  </r>
  <r>
    <x v="1324"/>
    <x v="0"/>
    <x v="2"/>
    <x v="504"/>
    <n v="97.5"/>
    <x v="50"/>
    <x v="47"/>
    <x v="1"/>
    <x v="3"/>
    <x v="2"/>
    <x v="0"/>
    <x v="22"/>
    <x v="3"/>
    <x v="7"/>
    <x v="1"/>
  </r>
  <r>
    <x v="1325"/>
    <x v="15"/>
    <x v="0"/>
    <x v="457"/>
    <n v="26.2"/>
    <x v="50"/>
    <x v="56"/>
    <x v="1"/>
    <x v="2"/>
    <x v="0"/>
    <x v="0"/>
    <x v="55"/>
    <x v="1"/>
    <x v="7"/>
    <x v="1"/>
  </r>
  <r>
    <x v="1326"/>
    <x v="10"/>
    <x v="17"/>
    <x v="548"/>
    <n v="1320"/>
    <x v="50"/>
    <x v="52"/>
    <x v="1"/>
    <x v="4"/>
    <x v="0"/>
    <x v="0"/>
    <x v="3"/>
    <x v="4"/>
    <x v="7"/>
    <x v="1"/>
  </r>
  <r>
    <x v="1327"/>
    <x v="7"/>
    <x v="12"/>
    <x v="404"/>
    <n v="262.39999999999998"/>
    <x v="50"/>
    <x v="47"/>
    <x v="2"/>
    <x v="1"/>
    <x v="1"/>
    <x v="0"/>
    <x v="3"/>
    <x v="3"/>
    <x v="7"/>
    <x v="2"/>
  </r>
  <r>
    <x v="1328"/>
    <x v="5"/>
    <x v="4"/>
    <x v="101"/>
    <n v="391.20000000000005"/>
    <x v="50"/>
    <x v="47"/>
    <x v="1"/>
    <x v="4"/>
    <x v="0"/>
    <x v="0"/>
    <x v="3"/>
    <x v="3"/>
    <x v="7"/>
    <x v="1"/>
  </r>
  <r>
    <x v="1329"/>
    <x v="16"/>
    <x v="1"/>
    <x v="723"/>
    <n v="177.4"/>
    <x v="50"/>
    <x v="47"/>
    <x v="0"/>
    <x v="3"/>
    <x v="2"/>
    <x v="0"/>
    <x v="3"/>
    <x v="3"/>
    <x v="7"/>
    <x v="0"/>
  </r>
  <r>
    <x v="1330"/>
    <x v="4"/>
    <x v="1"/>
    <x v="210"/>
    <n v="42.6"/>
    <x v="50"/>
    <x v="47"/>
    <x v="1"/>
    <x v="0"/>
    <x v="0"/>
    <x v="0"/>
    <x v="3"/>
    <x v="3"/>
    <x v="7"/>
    <x v="1"/>
  </r>
  <r>
    <x v="1331"/>
    <x v="4"/>
    <x v="13"/>
    <x v="79"/>
    <n v="303.60000000000002"/>
    <x v="50"/>
    <x v="54"/>
    <x v="2"/>
    <x v="2"/>
    <x v="0"/>
    <x v="0"/>
    <x v="3"/>
    <x v="5"/>
    <x v="7"/>
    <x v="2"/>
  </r>
  <r>
    <x v="1332"/>
    <x v="9"/>
    <x v="38"/>
    <x v="724"/>
    <n v="1824.9"/>
    <x v="50"/>
    <x v="55"/>
    <x v="2"/>
    <x v="0"/>
    <x v="1"/>
    <x v="0"/>
    <x v="3"/>
    <x v="2"/>
    <x v="7"/>
    <x v="2"/>
  </r>
  <r>
    <x v="1333"/>
    <x v="11"/>
    <x v="2"/>
    <x v="216"/>
    <n v="95.4"/>
    <x v="50"/>
    <x v="56"/>
    <x v="1"/>
    <x v="0"/>
    <x v="2"/>
    <x v="0"/>
    <x v="3"/>
    <x v="1"/>
    <x v="7"/>
    <x v="1"/>
  </r>
  <r>
    <x v="1334"/>
    <x v="8"/>
    <x v="0"/>
    <x v="129"/>
    <n v="19"/>
    <x v="50"/>
    <x v="47"/>
    <x v="2"/>
    <x v="0"/>
    <x v="2"/>
    <x v="0"/>
    <x v="3"/>
    <x v="3"/>
    <x v="7"/>
    <x v="2"/>
  </r>
  <r>
    <x v="1335"/>
    <x v="5"/>
    <x v="0"/>
    <x v="42"/>
    <n v="54.5"/>
    <x v="50"/>
    <x v="56"/>
    <x v="1"/>
    <x v="0"/>
    <x v="0"/>
    <x v="0"/>
    <x v="3"/>
    <x v="1"/>
    <x v="7"/>
    <x v="1"/>
  </r>
  <r>
    <x v="1336"/>
    <x v="9"/>
    <x v="9"/>
    <x v="725"/>
    <n v="344.5"/>
    <x v="50"/>
    <x v="56"/>
    <x v="1"/>
    <x v="4"/>
    <x v="1"/>
    <x v="0"/>
    <x v="3"/>
    <x v="1"/>
    <x v="7"/>
    <x v="1"/>
  </r>
  <r>
    <x v="1337"/>
    <x v="6"/>
    <x v="2"/>
    <x v="726"/>
    <n v="252"/>
    <x v="50"/>
    <x v="47"/>
    <x v="1"/>
    <x v="1"/>
    <x v="4"/>
    <x v="0"/>
    <x v="16"/>
    <x v="3"/>
    <x v="7"/>
    <x v="1"/>
  </r>
  <r>
    <x v="1338"/>
    <x v="15"/>
    <x v="8"/>
    <x v="59"/>
    <n v="184.8"/>
    <x v="50"/>
    <x v="51"/>
    <x v="1"/>
    <x v="0"/>
    <x v="2"/>
    <x v="0"/>
    <x v="23"/>
    <x v="0"/>
    <x v="7"/>
    <x v="1"/>
  </r>
  <r>
    <x v="1339"/>
    <x v="7"/>
    <x v="1"/>
    <x v="470"/>
    <n v="124.8"/>
    <x v="50"/>
    <x v="47"/>
    <x v="2"/>
    <x v="0"/>
    <x v="1"/>
    <x v="0"/>
    <x v="6"/>
    <x v="3"/>
    <x v="7"/>
    <x v="2"/>
  </r>
  <r>
    <x v="1340"/>
    <x v="6"/>
    <x v="4"/>
    <x v="253"/>
    <n v="488.40000000000003"/>
    <x v="50"/>
    <x v="56"/>
    <x v="1"/>
    <x v="1"/>
    <x v="2"/>
    <x v="0"/>
    <x v="6"/>
    <x v="1"/>
    <x v="7"/>
    <x v="1"/>
  </r>
  <r>
    <x v="1341"/>
    <x v="6"/>
    <x v="0"/>
    <x v="659"/>
    <n v="49.6"/>
    <x v="50"/>
    <x v="55"/>
    <x v="1"/>
    <x v="2"/>
    <x v="0"/>
    <x v="0"/>
    <x v="7"/>
    <x v="2"/>
    <x v="7"/>
    <x v="1"/>
  </r>
  <r>
    <x v="1342"/>
    <x v="7"/>
    <x v="41"/>
    <x v="450"/>
    <n v="2996.9999999999995"/>
    <x v="50"/>
    <x v="55"/>
    <x v="1"/>
    <x v="2"/>
    <x v="0"/>
    <x v="0"/>
    <x v="8"/>
    <x v="2"/>
    <x v="7"/>
    <x v="1"/>
  </r>
  <r>
    <x v="1343"/>
    <x v="8"/>
    <x v="2"/>
    <x v="23"/>
    <n v="79.199999999999989"/>
    <x v="50"/>
    <x v="47"/>
    <x v="2"/>
    <x v="1"/>
    <x v="1"/>
    <x v="0"/>
    <x v="8"/>
    <x v="3"/>
    <x v="7"/>
    <x v="2"/>
  </r>
  <r>
    <x v="1344"/>
    <x v="0"/>
    <x v="1"/>
    <x v="727"/>
    <n v="34.4"/>
    <x v="50"/>
    <x v="55"/>
    <x v="1"/>
    <x v="2"/>
    <x v="1"/>
    <x v="0"/>
    <x v="8"/>
    <x v="2"/>
    <x v="7"/>
    <x v="1"/>
  </r>
  <r>
    <x v="1345"/>
    <x v="5"/>
    <x v="8"/>
    <x v="215"/>
    <n v="464.8"/>
    <x v="50"/>
    <x v="55"/>
    <x v="2"/>
    <x v="4"/>
    <x v="0"/>
    <x v="0"/>
    <x v="8"/>
    <x v="2"/>
    <x v="7"/>
    <x v="2"/>
  </r>
  <r>
    <x v="1346"/>
    <x v="15"/>
    <x v="12"/>
    <x v="217"/>
    <n v="126"/>
    <x v="50"/>
    <x v="55"/>
    <x v="2"/>
    <x v="4"/>
    <x v="4"/>
    <x v="0"/>
    <x v="8"/>
    <x v="2"/>
    <x v="7"/>
    <x v="2"/>
  </r>
  <r>
    <x v="1347"/>
    <x v="0"/>
    <x v="0"/>
    <x v="399"/>
    <n v="27.1"/>
    <x v="50"/>
    <x v="56"/>
    <x v="2"/>
    <x v="0"/>
    <x v="1"/>
    <x v="0"/>
    <x v="17"/>
    <x v="1"/>
    <x v="7"/>
    <x v="2"/>
  </r>
  <r>
    <x v="1348"/>
    <x v="18"/>
    <x v="12"/>
    <x v="365"/>
    <n v="114"/>
    <x v="50"/>
    <x v="56"/>
    <x v="1"/>
    <x v="1"/>
    <x v="2"/>
    <x v="0"/>
    <x v="9"/>
    <x v="1"/>
    <x v="7"/>
    <x v="1"/>
  </r>
  <r>
    <x v="1349"/>
    <x v="10"/>
    <x v="0"/>
    <x v="145"/>
    <n v="40.5"/>
    <x v="51"/>
    <x v="55"/>
    <x v="3"/>
    <x v="2"/>
    <x v="0"/>
    <x v="0"/>
    <x v="9"/>
    <x v="1"/>
    <x v="7"/>
    <x v="3"/>
  </r>
  <r>
    <x v="1350"/>
    <x v="2"/>
    <x v="2"/>
    <x v="710"/>
    <n v="233.70000000000002"/>
    <x v="51"/>
    <x v="51"/>
    <x v="2"/>
    <x v="1"/>
    <x v="2"/>
    <x v="0"/>
    <x v="19"/>
    <x v="5"/>
    <x v="7"/>
    <x v="2"/>
  </r>
  <r>
    <x v="1351"/>
    <x v="18"/>
    <x v="12"/>
    <x v="719"/>
    <n v="148.4"/>
    <x v="51"/>
    <x v="55"/>
    <x v="1"/>
    <x v="4"/>
    <x v="2"/>
    <x v="0"/>
    <x v="19"/>
    <x v="1"/>
    <x v="7"/>
    <x v="1"/>
  </r>
  <r>
    <x v="1352"/>
    <x v="16"/>
    <x v="2"/>
    <x v="728"/>
    <n v="154.80000000000001"/>
    <x v="51"/>
    <x v="59"/>
    <x v="2"/>
    <x v="0"/>
    <x v="4"/>
    <x v="0"/>
    <x v="19"/>
    <x v="9"/>
    <x v="7"/>
    <x v="2"/>
  </r>
  <r>
    <x v="1353"/>
    <x v="7"/>
    <x v="2"/>
    <x v="729"/>
    <n v="294"/>
    <x v="51"/>
    <x v="56"/>
    <x v="1"/>
    <x v="1"/>
    <x v="1"/>
    <x v="0"/>
    <x v="19"/>
    <x v="3"/>
    <x v="7"/>
    <x v="1"/>
  </r>
  <r>
    <x v="1354"/>
    <x v="6"/>
    <x v="3"/>
    <x v="50"/>
    <n v="289.8"/>
    <x v="51"/>
    <x v="56"/>
    <x v="1"/>
    <x v="1"/>
    <x v="0"/>
    <x v="0"/>
    <x v="20"/>
    <x v="3"/>
    <x v="7"/>
    <x v="1"/>
  </r>
  <r>
    <x v="1355"/>
    <x v="11"/>
    <x v="8"/>
    <x v="324"/>
    <n v="272"/>
    <x v="51"/>
    <x v="52"/>
    <x v="2"/>
    <x v="0"/>
    <x v="2"/>
    <x v="0"/>
    <x v="52"/>
    <x v="0"/>
    <x v="7"/>
    <x v="2"/>
  </r>
  <r>
    <x v="1356"/>
    <x v="6"/>
    <x v="0"/>
    <x v="730"/>
    <n v="66.3"/>
    <x v="51"/>
    <x v="56"/>
    <x v="2"/>
    <x v="1"/>
    <x v="0"/>
    <x v="0"/>
    <x v="13"/>
    <x v="3"/>
    <x v="7"/>
    <x v="2"/>
  </r>
  <r>
    <x v="1357"/>
    <x v="7"/>
    <x v="0"/>
    <x v="232"/>
    <n v="33.5"/>
    <x v="51"/>
    <x v="51"/>
    <x v="1"/>
    <x v="2"/>
    <x v="0"/>
    <x v="0"/>
    <x v="13"/>
    <x v="5"/>
    <x v="7"/>
    <x v="1"/>
  </r>
  <r>
    <x v="1358"/>
    <x v="12"/>
    <x v="1"/>
    <x v="471"/>
    <n v="141.6"/>
    <x v="51"/>
    <x v="56"/>
    <x v="0"/>
    <x v="0"/>
    <x v="0"/>
    <x v="0"/>
    <x v="28"/>
    <x v="3"/>
    <x v="7"/>
    <x v="0"/>
  </r>
  <r>
    <x v="1359"/>
    <x v="6"/>
    <x v="1"/>
    <x v="731"/>
    <n v="255.2"/>
    <x v="51"/>
    <x v="56"/>
    <x v="1"/>
    <x v="0"/>
    <x v="0"/>
    <x v="0"/>
    <x v="21"/>
    <x v="3"/>
    <x v="7"/>
    <x v="1"/>
  </r>
  <r>
    <x v="1360"/>
    <x v="6"/>
    <x v="2"/>
    <x v="732"/>
    <n v="287.70000000000005"/>
    <x v="51"/>
    <x v="56"/>
    <x v="2"/>
    <x v="1"/>
    <x v="1"/>
    <x v="0"/>
    <x v="21"/>
    <x v="3"/>
    <x v="7"/>
    <x v="2"/>
  </r>
  <r>
    <x v="1361"/>
    <x v="2"/>
    <x v="1"/>
    <x v="505"/>
    <n v="156.19999999999999"/>
    <x v="51"/>
    <x v="56"/>
    <x v="1"/>
    <x v="0"/>
    <x v="0"/>
    <x v="0"/>
    <x v="1"/>
    <x v="3"/>
    <x v="7"/>
    <x v="1"/>
  </r>
  <r>
    <x v="1362"/>
    <x v="13"/>
    <x v="1"/>
    <x v="522"/>
    <n v="86.4"/>
    <x v="51"/>
    <x v="56"/>
    <x v="0"/>
    <x v="1"/>
    <x v="1"/>
    <x v="0"/>
    <x v="1"/>
    <x v="3"/>
    <x v="7"/>
    <x v="0"/>
  </r>
  <r>
    <x v="1363"/>
    <x v="8"/>
    <x v="12"/>
    <x v="70"/>
    <n v="113.6"/>
    <x v="51"/>
    <x v="53"/>
    <x v="1"/>
    <x v="2"/>
    <x v="0"/>
    <x v="0"/>
    <x v="3"/>
    <x v="4"/>
    <x v="7"/>
    <x v="1"/>
  </r>
  <r>
    <x v="1364"/>
    <x v="2"/>
    <x v="1"/>
    <x v="521"/>
    <n v="163.4"/>
    <x v="51"/>
    <x v="47"/>
    <x v="1"/>
    <x v="0"/>
    <x v="0"/>
    <x v="0"/>
    <x v="3"/>
    <x v="7"/>
    <x v="7"/>
    <x v="1"/>
  </r>
  <r>
    <x v="1365"/>
    <x v="18"/>
    <x v="1"/>
    <x v="4"/>
    <n v="113.4"/>
    <x v="51"/>
    <x v="55"/>
    <x v="0"/>
    <x v="0"/>
    <x v="2"/>
    <x v="0"/>
    <x v="3"/>
    <x v="1"/>
    <x v="7"/>
    <x v="0"/>
  </r>
  <r>
    <x v="1366"/>
    <x v="3"/>
    <x v="12"/>
    <x v="563"/>
    <n v="266"/>
    <x v="51"/>
    <x v="47"/>
    <x v="2"/>
    <x v="0"/>
    <x v="2"/>
    <x v="0"/>
    <x v="3"/>
    <x v="7"/>
    <x v="7"/>
    <x v="2"/>
  </r>
  <r>
    <x v="1367"/>
    <x v="1"/>
    <x v="1"/>
    <x v="733"/>
    <n v="210.6"/>
    <x v="51"/>
    <x v="51"/>
    <x v="1"/>
    <x v="0"/>
    <x v="1"/>
    <x v="0"/>
    <x v="3"/>
    <x v="5"/>
    <x v="7"/>
    <x v="1"/>
  </r>
  <r>
    <x v="1368"/>
    <x v="10"/>
    <x v="9"/>
    <x v="601"/>
    <n v="169"/>
    <x v="51"/>
    <x v="52"/>
    <x v="1"/>
    <x v="0"/>
    <x v="0"/>
    <x v="0"/>
    <x v="3"/>
    <x v="0"/>
    <x v="7"/>
    <x v="1"/>
  </r>
  <r>
    <x v="1369"/>
    <x v="6"/>
    <x v="2"/>
    <x v="734"/>
    <n v="190.2"/>
    <x v="51"/>
    <x v="52"/>
    <x v="1"/>
    <x v="3"/>
    <x v="1"/>
    <x v="0"/>
    <x v="24"/>
    <x v="0"/>
    <x v="7"/>
    <x v="1"/>
  </r>
  <r>
    <x v="1370"/>
    <x v="6"/>
    <x v="2"/>
    <x v="11"/>
    <n v="147"/>
    <x v="51"/>
    <x v="51"/>
    <x v="1"/>
    <x v="3"/>
    <x v="0"/>
    <x v="0"/>
    <x v="49"/>
    <x v="5"/>
    <x v="7"/>
    <x v="1"/>
  </r>
  <r>
    <x v="1371"/>
    <x v="1"/>
    <x v="1"/>
    <x v="152"/>
    <n v="80"/>
    <x v="51"/>
    <x v="56"/>
    <x v="2"/>
    <x v="4"/>
    <x v="1"/>
    <x v="0"/>
    <x v="23"/>
    <x v="3"/>
    <x v="7"/>
    <x v="2"/>
  </r>
  <r>
    <x v="1372"/>
    <x v="6"/>
    <x v="12"/>
    <x v="507"/>
    <n v="345.2"/>
    <x v="51"/>
    <x v="56"/>
    <x v="3"/>
    <x v="0"/>
    <x v="0"/>
    <x v="0"/>
    <x v="6"/>
    <x v="3"/>
    <x v="7"/>
    <x v="3"/>
  </r>
  <r>
    <x v="1373"/>
    <x v="6"/>
    <x v="0"/>
    <x v="728"/>
    <n v="51.6"/>
    <x v="51"/>
    <x v="55"/>
    <x v="2"/>
    <x v="2"/>
    <x v="2"/>
    <x v="0"/>
    <x v="6"/>
    <x v="1"/>
    <x v="7"/>
    <x v="2"/>
  </r>
  <r>
    <x v="1374"/>
    <x v="10"/>
    <x v="2"/>
    <x v="494"/>
    <n v="80.099999999999994"/>
    <x v="51"/>
    <x v="52"/>
    <x v="2"/>
    <x v="2"/>
    <x v="1"/>
    <x v="0"/>
    <x v="6"/>
    <x v="0"/>
    <x v="7"/>
    <x v="2"/>
  </r>
  <r>
    <x v="1375"/>
    <x v="18"/>
    <x v="1"/>
    <x v="735"/>
    <n v="136.19999999999999"/>
    <x v="51"/>
    <x v="56"/>
    <x v="1"/>
    <x v="0"/>
    <x v="1"/>
    <x v="0"/>
    <x v="6"/>
    <x v="3"/>
    <x v="7"/>
    <x v="1"/>
  </r>
  <r>
    <x v="1376"/>
    <x v="1"/>
    <x v="0"/>
    <x v="521"/>
    <n v="81.7"/>
    <x v="51"/>
    <x v="56"/>
    <x v="1"/>
    <x v="0"/>
    <x v="0"/>
    <x v="0"/>
    <x v="7"/>
    <x v="3"/>
    <x v="7"/>
    <x v="1"/>
  </r>
  <r>
    <x v="1377"/>
    <x v="18"/>
    <x v="7"/>
    <x v="403"/>
    <n v="251"/>
    <x v="51"/>
    <x v="54"/>
    <x v="1"/>
    <x v="3"/>
    <x v="1"/>
    <x v="0"/>
    <x v="8"/>
    <x v="2"/>
    <x v="7"/>
    <x v="1"/>
  </r>
  <r>
    <x v="1378"/>
    <x v="8"/>
    <x v="0"/>
    <x v="736"/>
    <n v="20.2"/>
    <x v="51"/>
    <x v="51"/>
    <x v="2"/>
    <x v="0"/>
    <x v="0"/>
    <x v="0"/>
    <x v="8"/>
    <x v="5"/>
    <x v="7"/>
    <x v="2"/>
  </r>
  <r>
    <x v="1379"/>
    <x v="8"/>
    <x v="2"/>
    <x v="455"/>
    <n v="46.2"/>
    <x v="51"/>
    <x v="56"/>
    <x v="1"/>
    <x v="1"/>
    <x v="2"/>
    <x v="0"/>
    <x v="8"/>
    <x v="3"/>
    <x v="7"/>
    <x v="1"/>
  </r>
  <r>
    <x v="1380"/>
    <x v="10"/>
    <x v="0"/>
    <x v="737"/>
    <n v="59.2"/>
    <x v="51"/>
    <x v="56"/>
    <x v="1"/>
    <x v="2"/>
    <x v="2"/>
    <x v="0"/>
    <x v="17"/>
    <x v="3"/>
    <x v="7"/>
    <x v="1"/>
  </r>
  <r>
    <x v="1381"/>
    <x v="0"/>
    <x v="0"/>
    <x v="21"/>
    <n v="46.7"/>
    <x v="51"/>
    <x v="52"/>
    <x v="1"/>
    <x v="0"/>
    <x v="0"/>
    <x v="0"/>
    <x v="17"/>
    <x v="0"/>
    <x v="7"/>
    <x v="1"/>
  </r>
  <r>
    <x v="1382"/>
    <x v="6"/>
    <x v="20"/>
    <x v="654"/>
    <n v="624"/>
    <x v="51"/>
    <x v="55"/>
    <x v="1"/>
    <x v="1"/>
    <x v="0"/>
    <x v="0"/>
    <x v="26"/>
    <x v="1"/>
    <x v="7"/>
    <x v="1"/>
  </r>
  <r>
    <x v="1383"/>
    <x v="8"/>
    <x v="1"/>
    <x v="359"/>
    <n v="38.4"/>
    <x v="51"/>
    <x v="54"/>
    <x v="1"/>
    <x v="4"/>
    <x v="2"/>
    <x v="0"/>
    <x v="9"/>
    <x v="2"/>
    <x v="7"/>
    <x v="1"/>
  </r>
  <r>
    <x v="1384"/>
    <x v="17"/>
    <x v="3"/>
    <x v="80"/>
    <n v="292.59999999999997"/>
    <x v="51"/>
    <x v="55"/>
    <x v="2"/>
    <x v="2"/>
    <x v="0"/>
    <x v="0"/>
    <x v="11"/>
    <x v="1"/>
    <x v="7"/>
    <x v="2"/>
  </r>
  <r>
    <x v="1385"/>
    <x v="8"/>
    <x v="13"/>
    <x v="484"/>
    <n v="224.39999999999998"/>
    <x v="51"/>
    <x v="55"/>
    <x v="1"/>
    <x v="0"/>
    <x v="2"/>
    <x v="0"/>
    <x v="11"/>
    <x v="1"/>
    <x v="7"/>
    <x v="1"/>
  </r>
  <r>
    <x v="1386"/>
    <x v="10"/>
    <x v="2"/>
    <x v="738"/>
    <n v="180.60000000000002"/>
    <x v="51"/>
    <x v="54"/>
    <x v="1"/>
    <x v="4"/>
    <x v="1"/>
    <x v="0"/>
    <x v="38"/>
    <x v="2"/>
    <x v="7"/>
    <x v="1"/>
  </r>
  <r>
    <x v="1387"/>
    <x v="9"/>
    <x v="1"/>
    <x v="739"/>
    <n v="183"/>
    <x v="52"/>
    <x v="55"/>
    <x v="1"/>
    <x v="0"/>
    <x v="0"/>
    <x v="0"/>
    <x v="13"/>
    <x v="3"/>
    <x v="7"/>
    <x v="1"/>
  </r>
  <r>
    <x v="1388"/>
    <x v="3"/>
    <x v="9"/>
    <x v="740"/>
    <n v="278.5"/>
    <x v="52"/>
    <x v="54"/>
    <x v="0"/>
    <x v="1"/>
    <x v="2"/>
    <x v="0"/>
    <x v="21"/>
    <x v="1"/>
    <x v="7"/>
    <x v="0"/>
  </r>
  <r>
    <x v="1389"/>
    <x v="7"/>
    <x v="1"/>
    <x v="741"/>
    <n v="153.4"/>
    <x v="52"/>
    <x v="54"/>
    <x v="1"/>
    <x v="0"/>
    <x v="1"/>
    <x v="0"/>
    <x v="21"/>
    <x v="1"/>
    <x v="7"/>
    <x v="1"/>
  </r>
  <r>
    <x v="1390"/>
    <x v="8"/>
    <x v="38"/>
    <x v="742"/>
    <n v="592.19999999999993"/>
    <x v="52"/>
    <x v="53"/>
    <x v="1"/>
    <x v="2"/>
    <x v="0"/>
    <x v="0"/>
    <x v="1"/>
    <x v="0"/>
    <x v="7"/>
    <x v="1"/>
  </r>
  <r>
    <x v="1391"/>
    <x v="7"/>
    <x v="9"/>
    <x v="743"/>
    <n v="466"/>
    <x v="52"/>
    <x v="54"/>
    <x v="2"/>
    <x v="4"/>
    <x v="2"/>
    <x v="0"/>
    <x v="1"/>
    <x v="1"/>
    <x v="7"/>
    <x v="2"/>
  </r>
  <r>
    <x v="1392"/>
    <x v="17"/>
    <x v="0"/>
    <x v="57"/>
    <n v="33.299999999999997"/>
    <x v="52"/>
    <x v="55"/>
    <x v="1"/>
    <x v="4"/>
    <x v="0"/>
    <x v="0"/>
    <x v="2"/>
    <x v="3"/>
    <x v="7"/>
    <x v="1"/>
  </r>
  <r>
    <x v="1393"/>
    <x v="10"/>
    <x v="1"/>
    <x v="644"/>
    <n v="78.2"/>
    <x v="52"/>
    <x v="51"/>
    <x v="1"/>
    <x v="0"/>
    <x v="0"/>
    <x v="0"/>
    <x v="44"/>
    <x v="2"/>
    <x v="7"/>
    <x v="1"/>
  </r>
  <r>
    <x v="1394"/>
    <x v="7"/>
    <x v="4"/>
    <x v="299"/>
    <n v="543.59999999999991"/>
    <x v="52"/>
    <x v="55"/>
    <x v="1"/>
    <x v="2"/>
    <x v="0"/>
    <x v="0"/>
    <x v="33"/>
    <x v="3"/>
    <x v="7"/>
    <x v="1"/>
  </r>
  <r>
    <x v="1395"/>
    <x v="9"/>
    <x v="3"/>
    <x v="412"/>
    <n v="237.29999999999998"/>
    <x v="52"/>
    <x v="55"/>
    <x v="1"/>
    <x v="4"/>
    <x v="0"/>
    <x v="0"/>
    <x v="33"/>
    <x v="3"/>
    <x v="7"/>
    <x v="1"/>
  </r>
  <r>
    <x v="1396"/>
    <x v="8"/>
    <x v="2"/>
    <x v="129"/>
    <n v="57"/>
    <x v="52"/>
    <x v="55"/>
    <x v="1"/>
    <x v="0"/>
    <x v="2"/>
    <x v="0"/>
    <x v="15"/>
    <x v="3"/>
    <x v="7"/>
    <x v="1"/>
  </r>
  <r>
    <x v="1397"/>
    <x v="4"/>
    <x v="0"/>
    <x v="245"/>
    <n v="41.9"/>
    <x v="52"/>
    <x v="51"/>
    <x v="2"/>
    <x v="2"/>
    <x v="0"/>
    <x v="0"/>
    <x v="22"/>
    <x v="2"/>
    <x v="7"/>
    <x v="2"/>
  </r>
  <r>
    <x v="1398"/>
    <x v="1"/>
    <x v="12"/>
    <x v="151"/>
    <n v="150"/>
    <x v="52"/>
    <x v="56"/>
    <x v="2"/>
    <x v="0"/>
    <x v="0"/>
    <x v="0"/>
    <x v="3"/>
    <x v="7"/>
    <x v="7"/>
    <x v="2"/>
  </r>
  <r>
    <x v="1399"/>
    <x v="0"/>
    <x v="1"/>
    <x v="363"/>
    <n v="81.599999999999994"/>
    <x v="52"/>
    <x v="51"/>
    <x v="1"/>
    <x v="0"/>
    <x v="0"/>
    <x v="0"/>
    <x v="3"/>
    <x v="2"/>
    <x v="7"/>
    <x v="1"/>
  </r>
  <r>
    <x v="1400"/>
    <x v="0"/>
    <x v="12"/>
    <x v="59"/>
    <n v="92.4"/>
    <x v="52"/>
    <x v="55"/>
    <x v="2"/>
    <x v="4"/>
    <x v="0"/>
    <x v="0"/>
    <x v="3"/>
    <x v="3"/>
    <x v="7"/>
    <x v="2"/>
  </r>
  <r>
    <x v="1401"/>
    <x v="8"/>
    <x v="9"/>
    <x v="418"/>
    <n v="196.5"/>
    <x v="52"/>
    <x v="55"/>
    <x v="2"/>
    <x v="0"/>
    <x v="0"/>
    <x v="0"/>
    <x v="3"/>
    <x v="3"/>
    <x v="7"/>
    <x v="2"/>
  </r>
  <r>
    <x v="1402"/>
    <x v="2"/>
    <x v="12"/>
    <x v="744"/>
    <n v="340.8"/>
    <x v="52"/>
    <x v="53"/>
    <x v="1"/>
    <x v="2"/>
    <x v="0"/>
    <x v="0"/>
    <x v="3"/>
    <x v="0"/>
    <x v="7"/>
    <x v="1"/>
  </r>
  <r>
    <x v="1403"/>
    <x v="8"/>
    <x v="13"/>
    <x v="398"/>
    <n v="96"/>
    <x v="52"/>
    <x v="51"/>
    <x v="1"/>
    <x v="1"/>
    <x v="0"/>
    <x v="0"/>
    <x v="3"/>
    <x v="2"/>
    <x v="7"/>
    <x v="1"/>
  </r>
  <r>
    <x v="1404"/>
    <x v="1"/>
    <x v="1"/>
    <x v="601"/>
    <n v="67.599999999999994"/>
    <x v="52"/>
    <x v="52"/>
    <x v="2"/>
    <x v="1"/>
    <x v="0"/>
    <x v="0"/>
    <x v="3"/>
    <x v="5"/>
    <x v="7"/>
    <x v="2"/>
  </r>
  <r>
    <x v="1405"/>
    <x v="3"/>
    <x v="0"/>
    <x v="579"/>
    <n v="70"/>
    <x v="52"/>
    <x v="55"/>
    <x v="2"/>
    <x v="0"/>
    <x v="0"/>
    <x v="0"/>
    <x v="3"/>
    <x v="3"/>
    <x v="7"/>
    <x v="2"/>
  </r>
  <r>
    <x v="1406"/>
    <x v="9"/>
    <x v="0"/>
    <x v="745"/>
    <n v="88"/>
    <x v="52"/>
    <x v="53"/>
    <x v="2"/>
    <x v="3"/>
    <x v="0"/>
    <x v="0"/>
    <x v="3"/>
    <x v="0"/>
    <x v="7"/>
    <x v="2"/>
  </r>
  <r>
    <x v="1407"/>
    <x v="2"/>
    <x v="2"/>
    <x v="746"/>
    <n v="222.29999999999998"/>
    <x v="52"/>
    <x v="56"/>
    <x v="1"/>
    <x v="4"/>
    <x v="1"/>
    <x v="0"/>
    <x v="3"/>
    <x v="7"/>
    <x v="7"/>
    <x v="1"/>
  </r>
  <r>
    <x v="1408"/>
    <x v="2"/>
    <x v="0"/>
    <x v="747"/>
    <n v="161.9"/>
    <x v="52"/>
    <x v="54"/>
    <x v="1"/>
    <x v="2"/>
    <x v="0"/>
    <x v="0"/>
    <x v="3"/>
    <x v="1"/>
    <x v="7"/>
    <x v="1"/>
  </r>
  <r>
    <x v="1409"/>
    <x v="4"/>
    <x v="1"/>
    <x v="548"/>
    <n v="88"/>
    <x v="52"/>
    <x v="55"/>
    <x v="3"/>
    <x v="4"/>
    <x v="1"/>
    <x v="0"/>
    <x v="3"/>
    <x v="3"/>
    <x v="7"/>
    <x v="3"/>
  </r>
  <r>
    <x v="1410"/>
    <x v="11"/>
    <x v="0"/>
    <x v="201"/>
    <n v="32.1"/>
    <x v="52"/>
    <x v="56"/>
    <x v="2"/>
    <x v="3"/>
    <x v="3"/>
    <x v="0"/>
    <x v="3"/>
    <x v="7"/>
    <x v="7"/>
    <x v="2"/>
  </r>
  <r>
    <x v="1411"/>
    <x v="2"/>
    <x v="12"/>
    <x v="720"/>
    <n v="419.2"/>
    <x v="53"/>
    <x v="51"/>
    <x v="3"/>
    <x v="0"/>
    <x v="0"/>
    <x v="0"/>
    <x v="3"/>
    <x v="1"/>
    <x v="8"/>
    <x v="3"/>
  </r>
  <r>
    <x v="1412"/>
    <x v="9"/>
    <x v="13"/>
    <x v="748"/>
    <n v="404.40000000000003"/>
    <x v="53"/>
    <x v="54"/>
    <x v="2"/>
    <x v="3"/>
    <x v="0"/>
    <x v="0"/>
    <x v="3"/>
    <x v="3"/>
    <x v="8"/>
    <x v="2"/>
  </r>
  <r>
    <x v="1413"/>
    <x v="6"/>
    <x v="1"/>
    <x v="749"/>
    <n v="230.4"/>
    <x v="53"/>
    <x v="54"/>
    <x v="2"/>
    <x v="1"/>
    <x v="0"/>
    <x v="0"/>
    <x v="4"/>
    <x v="3"/>
    <x v="8"/>
    <x v="2"/>
  </r>
  <r>
    <x v="1414"/>
    <x v="8"/>
    <x v="19"/>
    <x v="83"/>
    <n v="449.5"/>
    <x v="53"/>
    <x v="51"/>
    <x v="2"/>
    <x v="0"/>
    <x v="1"/>
    <x v="0"/>
    <x v="23"/>
    <x v="1"/>
    <x v="8"/>
    <x v="2"/>
  </r>
  <r>
    <x v="1415"/>
    <x v="6"/>
    <x v="5"/>
    <x v="633"/>
    <n v="730.40000000000009"/>
    <x v="53"/>
    <x v="51"/>
    <x v="2"/>
    <x v="0"/>
    <x v="0"/>
    <x v="0"/>
    <x v="6"/>
    <x v="1"/>
    <x v="8"/>
    <x v="2"/>
  </r>
  <r>
    <x v="1416"/>
    <x v="9"/>
    <x v="4"/>
    <x v="735"/>
    <n v="817.19999999999993"/>
    <x v="53"/>
    <x v="54"/>
    <x v="2"/>
    <x v="2"/>
    <x v="0"/>
    <x v="0"/>
    <x v="8"/>
    <x v="3"/>
    <x v="8"/>
    <x v="2"/>
  </r>
  <r>
    <x v="1417"/>
    <x v="8"/>
    <x v="9"/>
    <x v="504"/>
    <n v="162.5"/>
    <x v="53"/>
    <x v="53"/>
    <x v="1"/>
    <x v="2"/>
    <x v="1"/>
    <x v="0"/>
    <x v="8"/>
    <x v="5"/>
    <x v="8"/>
    <x v="1"/>
  </r>
  <r>
    <x v="1418"/>
    <x v="15"/>
    <x v="2"/>
    <x v="750"/>
    <n v="183.60000000000002"/>
    <x v="53"/>
    <x v="51"/>
    <x v="2"/>
    <x v="1"/>
    <x v="1"/>
    <x v="0"/>
    <x v="8"/>
    <x v="1"/>
    <x v="8"/>
    <x v="2"/>
  </r>
  <r>
    <x v="1419"/>
    <x v="9"/>
    <x v="1"/>
    <x v="706"/>
    <n v="108.4"/>
    <x v="53"/>
    <x v="54"/>
    <x v="2"/>
    <x v="1"/>
    <x v="0"/>
    <x v="0"/>
    <x v="8"/>
    <x v="3"/>
    <x v="8"/>
    <x v="2"/>
  </r>
  <r>
    <x v="1420"/>
    <x v="11"/>
    <x v="8"/>
    <x v="167"/>
    <n v="229.6"/>
    <x v="53"/>
    <x v="51"/>
    <x v="1"/>
    <x v="1"/>
    <x v="0"/>
    <x v="0"/>
    <x v="9"/>
    <x v="1"/>
    <x v="8"/>
    <x v="1"/>
  </r>
  <r>
    <x v="1421"/>
    <x v="12"/>
    <x v="13"/>
    <x v="751"/>
    <n v="229.20000000000002"/>
    <x v="53"/>
    <x v="53"/>
    <x v="2"/>
    <x v="0"/>
    <x v="1"/>
    <x v="0"/>
    <x v="9"/>
    <x v="5"/>
    <x v="8"/>
    <x v="2"/>
  </r>
  <r>
    <x v="1422"/>
    <x v="8"/>
    <x v="4"/>
    <x v="228"/>
    <n v="211.20000000000002"/>
    <x v="53"/>
    <x v="54"/>
    <x v="2"/>
    <x v="2"/>
    <x v="1"/>
    <x v="0"/>
    <x v="9"/>
    <x v="3"/>
    <x v="8"/>
    <x v="2"/>
  </r>
  <r>
    <x v="1423"/>
    <x v="10"/>
    <x v="2"/>
    <x v="752"/>
    <n v="223.79999999999998"/>
    <x v="53"/>
    <x v="55"/>
    <x v="2"/>
    <x v="2"/>
    <x v="0"/>
    <x v="0"/>
    <x v="11"/>
    <x v="7"/>
    <x v="8"/>
    <x v="2"/>
  </r>
  <r>
    <x v="1424"/>
    <x v="16"/>
    <x v="20"/>
    <x v="559"/>
    <n v="1089"/>
    <x v="53"/>
    <x v="55"/>
    <x v="0"/>
    <x v="1"/>
    <x v="1"/>
    <x v="0"/>
    <x v="11"/>
    <x v="7"/>
    <x v="8"/>
    <x v="0"/>
  </r>
  <r>
    <x v="1425"/>
    <x v="7"/>
    <x v="0"/>
    <x v="556"/>
    <n v="62.3"/>
    <x v="53"/>
    <x v="54"/>
    <x v="2"/>
    <x v="1"/>
    <x v="0"/>
    <x v="0"/>
    <x v="11"/>
    <x v="3"/>
    <x v="8"/>
    <x v="2"/>
  </r>
  <r>
    <x v="1426"/>
    <x v="3"/>
    <x v="2"/>
    <x v="601"/>
    <n v="101.39999999999999"/>
    <x v="53"/>
    <x v="51"/>
    <x v="1"/>
    <x v="0"/>
    <x v="2"/>
    <x v="0"/>
    <x v="20"/>
    <x v="1"/>
    <x v="8"/>
    <x v="1"/>
  </r>
  <r>
    <x v="1427"/>
    <x v="9"/>
    <x v="0"/>
    <x v="753"/>
    <n v="85.7"/>
    <x v="53"/>
    <x v="52"/>
    <x v="1"/>
    <x v="3"/>
    <x v="1"/>
    <x v="0"/>
    <x v="21"/>
    <x v="2"/>
    <x v="8"/>
    <x v="1"/>
  </r>
  <r>
    <x v="1428"/>
    <x v="6"/>
    <x v="1"/>
    <x v="754"/>
    <n v="184.2"/>
    <x v="53"/>
    <x v="51"/>
    <x v="1"/>
    <x v="1"/>
    <x v="0"/>
    <x v="0"/>
    <x v="21"/>
    <x v="1"/>
    <x v="8"/>
    <x v="1"/>
  </r>
  <r>
    <x v="1429"/>
    <x v="16"/>
    <x v="2"/>
    <x v="146"/>
    <n v="195.29999999999998"/>
    <x v="53"/>
    <x v="52"/>
    <x v="1"/>
    <x v="0"/>
    <x v="0"/>
    <x v="0"/>
    <x v="1"/>
    <x v="2"/>
    <x v="8"/>
    <x v="1"/>
  </r>
  <r>
    <x v="1430"/>
    <x v="9"/>
    <x v="3"/>
    <x v="127"/>
    <n v="142.1"/>
    <x v="53"/>
    <x v="54"/>
    <x v="2"/>
    <x v="2"/>
    <x v="2"/>
    <x v="0"/>
    <x v="2"/>
    <x v="3"/>
    <x v="8"/>
    <x v="2"/>
  </r>
  <r>
    <x v="1431"/>
    <x v="19"/>
    <x v="1"/>
    <x v="755"/>
    <n v="59.6"/>
    <x v="53"/>
    <x v="51"/>
    <x v="2"/>
    <x v="1"/>
    <x v="2"/>
    <x v="0"/>
    <x v="34"/>
    <x v="1"/>
    <x v="8"/>
    <x v="2"/>
  </r>
  <r>
    <x v="1432"/>
    <x v="0"/>
    <x v="1"/>
    <x v="512"/>
    <n v="48.4"/>
    <x v="53"/>
    <x v="51"/>
    <x v="2"/>
    <x v="3"/>
    <x v="2"/>
    <x v="0"/>
    <x v="3"/>
    <x v="1"/>
    <x v="8"/>
    <x v="2"/>
  </r>
  <r>
    <x v="1433"/>
    <x v="3"/>
    <x v="0"/>
    <x v="405"/>
    <n v="57.3"/>
    <x v="53"/>
    <x v="51"/>
    <x v="1"/>
    <x v="0"/>
    <x v="0"/>
    <x v="0"/>
    <x v="3"/>
    <x v="1"/>
    <x v="8"/>
    <x v="1"/>
  </r>
  <r>
    <x v="1434"/>
    <x v="2"/>
    <x v="0"/>
    <x v="756"/>
    <n v="108.9"/>
    <x v="53"/>
    <x v="51"/>
    <x v="2"/>
    <x v="1"/>
    <x v="0"/>
    <x v="0"/>
    <x v="3"/>
    <x v="1"/>
    <x v="8"/>
    <x v="2"/>
  </r>
  <r>
    <x v="1435"/>
    <x v="7"/>
    <x v="9"/>
    <x v="155"/>
    <n v="253.5"/>
    <x v="53"/>
    <x v="54"/>
    <x v="2"/>
    <x v="0"/>
    <x v="0"/>
    <x v="0"/>
    <x v="3"/>
    <x v="3"/>
    <x v="8"/>
    <x v="2"/>
  </r>
  <r>
    <x v="1436"/>
    <x v="7"/>
    <x v="11"/>
    <x v="757"/>
    <n v="594.9"/>
    <x v="53"/>
    <x v="60"/>
    <x v="2"/>
    <x v="1"/>
    <x v="0"/>
    <x v="0"/>
    <x v="3"/>
    <x v="12"/>
    <x v="8"/>
    <x v="2"/>
  </r>
  <r>
    <x v="1437"/>
    <x v="12"/>
    <x v="9"/>
    <x v="294"/>
    <n v="183.5"/>
    <x v="53"/>
    <x v="53"/>
    <x v="2"/>
    <x v="4"/>
    <x v="0"/>
    <x v="0"/>
    <x v="3"/>
    <x v="5"/>
    <x v="8"/>
    <x v="2"/>
  </r>
  <r>
    <x v="1438"/>
    <x v="8"/>
    <x v="14"/>
    <x v="55"/>
    <n v="328.1"/>
    <x v="53"/>
    <x v="51"/>
    <x v="1"/>
    <x v="0"/>
    <x v="0"/>
    <x v="0"/>
    <x v="43"/>
    <x v="1"/>
    <x v="8"/>
    <x v="1"/>
  </r>
  <r>
    <x v="1439"/>
    <x v="8"/>
    <x v="12"/>
    <x v="289"/>
    <n v="82.8"/>
    <x v="53"/>
    <x v="54"/>
    <x v="1"/>
    <x v="1"/>
    <x v="2"/>
    <x v="0"/>
    <x v="6"/>
    <x v="3"/>
    <x v="8"/>
    <x v="1"/>
  </r>
  <r>
    <x v="1440"/>
    <x v="5"/>
    <x v="2"/>
    <x v="86"/>
    <n v="164.10000000000002"/>
    <x v="53"/>
    <x v="55"/>
    <x v="3"/>
    <x v="1"/>
    <x v="4"/>
    <x v="0"/>
    <x v="6"/>
    <x v="7"/>
    <x v="8"/>
    <x v="3"/>
  </r>
  <r>
    <x v="1441"/>
    <x v="4"/>
    <x v="1"/>
    <x v="82"/>
    <n v="39.6"/>
    <x v="53"/>
    <x v="53"/>
    <x v="2"/>
    <x v="4"/>
    <x v="1"/>
    <x v="0"/>
    <x v="8"/>
    <x v="5"/>
    <x v="8"/>
    <x v="2"/>
  </r>
  <r>
    <x v="1442"/>
    <x v="7"/>
    <x v="0"/>
    <x v="758"/>
    <n v="41.1"/>
    <x v="53"/>
    <x v="51"/>
    <x v="2"/>
    <x v="0"/>
    <x v="2"/>
    <x v="0"/>
    <x v="8"/>
    <x v="1"/>
    <x v="8"/>
    <x v="2"/>
  </r>
  <r>
    <x v="1443"/>
    <x v="11"/>
    <x v="8"/>
    <x v="347"/>
    <n v="348"/>
    <x v="53"/>
    <x v="53"/>
    <x v="2"/>
    <x v="3"/>
    <x v="0"/>
    <x v="0"/>
    <x v="8"/>
    <x v="5"/>
    <x v="8"/>
    <x v="2"/>
  </r>
  <r>
    <x v="1444"/>
    <x v="8"/>
    <x v="21"/>
    <x v="129"/>
    <n v="266"/>
    <x v="53"/>
    <x v="54"/>
    <x v="1"/>
    <x v="0"/>
    <x v="0"/>
    <x v="0"/>
    <x v="26"/>
    <x v="3"/>
    <x v="8"/>
    <x v="1"/>
  </r>
  <r>
    <x v="1445"/>
    <x v="2"/>
    <x v="12"/>
    <x v="258"/>
    <n v="205.6"/>
    <x v="53"/>
    <x v="55"/>
    <x v="2"/>
    <x v="0"/>
    <x v="0"/>
    <x v="0"/>
    <x v="26"/>
    <x v="7"/>
    <x v="8"/>
    <x v="2"/>
  </r>
  <r>
    <x v="1446"/>
    <x v="10"/>
    <x v="1"/>
    <x v="759"/>
    <n v="79.599999999999994"/>
    <x v="53"/>
    <x v="52"/>
    <x v="1"/>
    <x v="3"/>
    <x v="1"/>
    <x v="0"/>
    <x v="13"/>
    <x v="2"/>
    <x v="8"/>
    <x v="1"/>
  </r>
  <r>
    <x v="1447"/>
    <x v="6"/>
    <x v="9"/>
    <x v="156"/>
    <n v="305"/>
    <x v="53"/>
    <x v="54"/>
    <x v="0"/>
    <x v="0"/>
    <x v="2"/>
    <x v="0"/>
    <x v="21"/>
    <x v="3"/>
    <x v="8"/>
    <x v="0"/>
  </r>
  <r>
    <x v="1448"/>
    <x v="8"/>
    <x v="5"/>
    <x v="536"/>
    <n v="166.1"/>
    <x v="54"/>
    <x v="59"/>
    <x v="1"/>
    <x v="3"/>
    <x v="2"/>
    <x v="0"/>
    <x v="2"/>
    <x v="0"/>
    <x v="8"/>
    <x v="1"/>
  </r>
  <r>
    <x v="1449"/>
    <x v="1"/>
    <x v="3"/>
    <x v="760"/>
    <n v="499.09999999999997"/>
    <x v="54"/>
    <x v="51"/>
    <x v="1"/>
    <x v="4"/>
    <x v="0"/>
    <x v="0"/>
    <x v="3"/>
    <x v="3"/>
    <x v="8"/>
    <x v="1"/>
  </r>
  <r>
    <x v="1450"/>
    <x v="10"/>
    <x v="0"/>
    <x v="136"/>
    <n v="25.8"/>
    <x v="54"/>
    <x v="52"/>
    <x v="2"/>
    <x v="0"/>
    <x v="2"/>
    <x v="0"/>
    <x v="3"/>
    <x v="1"/>
    <x v="8"/>
    <x v="2"/>
  </r>
  <r>
    <x v="1451"/>
    <x v="8"/>
    <x v="9"/>
    <x v="180"/>
    <n v="198"/>
    <x v="54"/>
    <x v="52"/>
    <x v="1"/>
    <x v="1"/>
    <x v="2"/>
    <x v="0"/>
    <x v="3"/>
    <x v="1"/>
    <x v="8"/>
    <x v="1"/>
  </r>
  <r>
    <x v="1452"/>
    <x v="5"/>
    <x v="1"/>
    <x v="761"/>
    <n v="128"/>
    <x v="54"/>
    <x v="54"/>
    <x v="1"/>
    <x v="1"/>
    <x v="1"/>
    <x v="0"/>
    <x v="3"/>
    <x v="7"/>
    <x v="8"/>
    <x v="1"/>
  </r>
  <r>
    <x v="1453"/>
    <x v="8"/>
    <x v="1"/>
    <x v="1"/>
    <n v="61.2"/>
    <x v="54"/>
    <x v="53"/>
    <x v="1"/>
    <x v="0"/>
    <x v="2"/>
    <x v="0"/>
    <x v="3"/>
    <x v="2"/>
    <x v="8"/>
    <x v="1"/>
  </r>
  <r>
    <x v="1454"/>
    <x v="8"/>
    <x v="1"/>
    <x v="210"/>
    <n v="42.6"/>
    <x v="54"/>
    <x v="51"/>
    <x v="1"/>
    <x v="0"/>
    <x v="1"/>
    <x v="0"/>
    <x v="3"/>
    <x v="3"/>
    <x v="8"/>
    <x v="1"/>
  </r>
  <r>
    <x v="1455"/>
    <x v="7"/>
    <x v="0"/>
    <x v="363"/>
    <n v="40.799999999999997"/>
    <x v="54"/>
    <x v="52"/>
    <x v="2"/>
    <x v="4"/>
    <x v="0"/>
    <x v="0"/>
    <x v="3"/>
    <x v="1"/>
    <x v="8"/>
    <x v="2"/>
  </r>
  <r>
    <x v="1456"/>
    <x v="9"/>
    <x v="12"/>
    <x v="389"/>
    <n v="110.8"/>
    <x v="54"/>
    <x v="51"/>
    <x v="2"/>
    <x v="0"/>
    <x v="1"/>
    <x v="0"/>
    <x v="3"/>
    <x v="3"/>
    <x v="8"/>
    <x v="2"/>
  </r>
  <r>
    <x v="1457"/>
    <x v="6"/>
    <x v="1"/>
    <x v="554"/>
    <n v="129.19999999999999"/>
    <x v="54"/>
    <x v="51"/>
    <x v="1"/>
    <x v="0"/>
    <x v="1"/>
    <x v="0"/>
    <x v="3"/>
    <x v="3"/>
    <x v="8"/>
    <x v="1"/>
  </r>
  <r>
    <x v="1458"/>
    <x v="6"/>
    <x v="27"/>
    <x v="677"/>
    <n v="1457.6"/>
    <x v="54"/>
    <x v="51"/>
    <x v="2"/>
    <x v="1"/>
    <x v="2"/>
    <x v="0"/>
    <x v="3"/>
    <x v="3"/>
    <x v="8"/>
    <x v="2"/>
  </r>
  <r>
    <x v="1459"/>
    <x v="1"/>
    <x v="0"/>
    <x v="557"/>
    <n v="39.5"/>
    <x v="54"/>
    <x v="61"/>
    <x v="2"/>
    <x v="0"/>
    <x v="0"/>
    <x v="0"/>
    <x v="3"/>
    <x v="9"/>
    <x v="8"/>
    <x v="2"/>
  </r>
  <r>
    <x v="1460"/>
    <x v="9"/>
    <x v="1"/>
    <x v="301"/>
    <n v="43.6"/>
    <x v="54"/>
    <x v="58"/>
    <x v="1"/>
    <x v="4"/>
    <x v="2"/>
    <x v="0"/>
    <x v="3"/>
    <x v="5"/>
    <x v="8"/>
    <x v="1"/>
  </r>
  <r>
    <x v="1461"/>
    <x v="8"/>
    <x v="1"/>
    <x v="707"/>
    <n v="102"/>
    <x v="54"/>
    <x v="53"/>
    <x v="1"/>
    <x v="3"/>
    <x v="2"/>
    <x v="0"/>
    <x v="3"/>
    <x v="2"/>
    <x v="8"/>
    <x v="1"/>
  </r>
  <r>
    <x v="1462"/>
    <x v="2"/>
    <x v="0"/>
    <x v="109"/>
    <n v="92.6"/>
    <x v="54"/>
    <x v="53"/>
    <x v="2"/>
    <x v="0"/>
    <x v="2"/>
    <x v="0"/>
    <x v="35"/>
    <x v="2"/>
    <x v="8"/>
    <x v="2"/>
  </r>
  <r>
    <x v="1463"/>
    <x v="9"/>
    <x v="1"/>
    <x v="16"/>
    <n v="62.2"/>
    <x v="54"/>
    <x v="59"/>
    <x v="0"/>
    <x v="1"/>
    <x v="3"/>
    <x v="0"/>
    <x v="23"/>
    <x v="0"/>
    <x v="8"/>
    <x v="0"/>
  </r>
  <r>
    <x v="1464"/>
    <x v="5"/>
    <x v="2"/>
    <x v="576"/>
    <n v="169.2"/>
    <x v="54"/>
    <x v="51"/>
    <x v="0"/>
    <x v="1"/>
    <x v="0"/>
    <x v="0"/>
    <x v="6"/>
    <x v="3"/>
    <x v="8"/>
    <x v="0"/>
  </r>
  <r>
    <x v="1465"/>
    <x v="9"/>
    <x v="0"/>
    <x v="245"/>
    <n v="41.9"/>
    <x v="54"/>
    <x v="54"/>
    <x v="1"/>
    <x v="1"/>
    <x v="0"/>
    <x v="0"/>
    <x v="6"/>
    <x v="7"/>
    <x v="8"/>
    <x v="1"/>
  </r>
  <r>
    <x v="1466"/>
    <x v="10"/>
    <x v="3"/>
    <x v="206"/>
    <n v="321.3"/>
    <x v="54"/>
    <x v="51"/>
    <x v="1"/>
    <x v="3"/>
    <x v="2"/>
    <x v="0"/>
    <x v="8"/>
    <x v="3"/>
    <x v="8"/>
    <x v="1"/>
  </r>
  <r>
    <x v="1467"/>
    <x v="14"/>
    <x v="11"/>
    <x v="278"/>
    <n v="219.6"/>
    <x v="54"/>
    <x v="58"/>
    <x v="1"/>
    <x v="3"/>
    <x v="2"/>
    <x v="0"/>
    <x v="8"/>
    <x v="5"/>
    <x v="8"/>
    <x v="1"/>
  </r>
  <r>
    <x v="1468"/>
    <x v="8"/>
    <x v="0"/>
    <x v="762"/>
    <n v="18.2"/>
    <x v="54"/>
    <x v="51"/>
    <x v="2"/>
    <x v="2"/>
    <x v="2"/>
    <x v="0"/>
    <x v="8"/>
    <x v="3"/>
    <x v="8"/>
    <x v="2"/>
  </r>
  <r>
    <x v="1469"/>
    <x v="8"/>
    <x v="12"/>
    <x v="440"/>
    <n v="204.8"/>
    <x v="54"/>
    <x v="51"/>
    <x v="2"/>
    <x v="0"/>
    <x v="0"/>
    <x v="0"/>
    <x v="8"/>
    <x v="3"/>
    <x v="8"/>
    <x v="2"/>
  </r>
  <r>
    <x v="1470"/>
    <x v="6"/>
    <x v="0"/>
    <x v="115"/>
    <n v="59.7"/>
    <x v="54"/>
    <x v="53"/>
    <x v="1"/>
    <x v="0"/>
    <x v="2"/>
    <x v="0"/>
    <x v="8"/>
    <x v="2"/>
    <x v="8"/>
    <x v="1"/>
  </r>
  <r>
    <x v="1471"/>
    <x v="4"/>
    <x v="1"/>
    <x v="570"/>
    <n v="67.2"/>
    <x v="54"/>
    <x v="52"/>
    <x v="2"/>
    <x v="0"/>
    <x v="0"/>
    <x v="0"/>
    <x v="17"/>
    <x v="1"/>
    <x v="8"/>
    <x v="2"/>
  </r>
  <r>
    <x v="1472"/>
    <x v="12"/>
    <x v="0"/>
    <x v="763"/>
    <n v="90.4"/>
    <x v="54"/>
    <x v="58"/>
    <x v="1"/>
    <x v="1"/>
    <x v="2"/>
    <x v="0"/>
    <x v="10"/>
    <x v="5"/>
    <x v="8"/>
    <x v="1"/>
  </r>
  <r>
    <x v="1473"/>
    <x v="11"/>
    <x v="2"/>
    <x v="451"/>
    <n v="210.89999999999998"/>
    <x v="54"/>
    <x v="54"/>
    <x v="1"/>
    <x v="1"/>
    <x v="2"/>
    <x v="0"/>
    <x v="11"/>
    <x v="7"/>
    <x v="8"/>
    <x v="1"/>
  </r>
  <r>
    <x v="1474"/>
    <x v="4"/>
    <x v="1"/>
    <x v="580"/>
    <n v="41"/>
    <x v="54"/>
    <x v="53"/>
    <x v="2"/>
    <x v="0"/>
    <x v="1"/>
    <x v="0"/>
    <x v="11"/>
    <x v="2"/>
    <x v="8"/>
    <x v="2"/>
  </r>
  <r>
    <x v="1475"/>
    <x v="5"/>
    <x v="5"/>
    <x v="410"/>
    <n v="413.6"/>
    <x v="54"/>
    <x v="51"/>
    <x v="1"/>
    <x v="0"/>
    <x v="0"/>
    <x v="0"/>
    <x v="38"/>
    <x v="3"/>
    <x v="8"/>
    <x v="1"/>
  </r>
  <r>
    <x v="1476"/>
    <x v="5"/>
    <x v="12"/>
    <x v="89"/>
    <n v="246"/>
    <x v="54"/>
    <x v="62"/>
    <x v="2"/>
    <x v="1"/>
    <x v="4"/>
    <x v="0"/>
    <x v="13"/>
    <x v="6"/>
    <x v="8"/>
    <x v="2"/>
  </r>
  <r>
    <x v="1477"/>
    <x v="9"/>
    <x v="0"/>
    <x v="232"/>
    <n v="33.5"/>
    <x v="55"/>
    <x v="59"/>
    <x v="1"/>
    <x v="4"/>
    <x v="1"/>
    <x v="0"/>
    <x v="21"/>
    <x v="5"/>
    <x v="8"/>
    <x v="1"/>
  </r>
  <r>
    <x v="1478"/>
    <x v="4"/>
    <x v="2"/>
    <x v="143"/>
    <n v="87.9"/>
    <x v="55"/>
    <x v="53"/>
    <x v="2"/>
    <x v="1"/>
    <x v="2"/>
    <x v="0"/>
    <x v="1"/>
    <x v="1"/>
    <x v="8"/>
    <x v="2"/>
  </r>
  <r>
    <x v="1479"/>
    <x v="2"/>
    <x v="1"/>
    <x v="764"/>
    <n v="251.8"/>
    <x v="55"/>
    <x v="57"/>
    <x v="2"/>
    <x v="4"/>
    <x v="1"/>
    <x v="0"/>
    <x v="1"/>
    <x v="0"/>
    <x v="8"/>
    <x v="2"/>
  </r>
  <r>
    <x v="1480"/>
    <x v="5"/>
    <x v="9"/>
    <x v="143"/>
    <n v="146.5"/>
    <x v="55"/>
    <x v="51"/>
    <x v="1"/>
    <x v="2"/>
    <x v="0"/>
    <x v="0"/>
    <x v="44"/>
    <x v="7"/>
    <x v="8"/>
    <x v="1"/>
  </r>
  <r>
    <x v="1481"/>
    <x v="9"/>
    <x v="0"/>
    <x v="256"/>
    <n v="37.799999999999997"/>
    <x v="55"/>
    <x v="58"/>
    <x v="2"/>
    <x v="0"/>
    <x v="2"/>
    <x v="0"/>
    <x v="3"/>
    <x v="2"/>
    <x v="8"/>
    <x v="2"/>
  </r>
  <r>
    <x v="1482"/>
    <x v="0"/>
    <x v="12"/>
    <x v="132"/>
    <n v="126.8"/>
    <x v="55"/>
    <x v="52"/>
    <x v="1"/>
    <x v="2"/>
    <x v="2"/>
    <x v="0"/>
    <x v="3"/>
    <x v="3"/>
    <x v="8"/>
    <x v="1"/>
  </r>
  <r>
    <x v="1483"/>
    <x v="8"/>
    <x v="9"/>
    <x v="133"/>
    <n v="131.5"/>
    <x v="55"/>
    <x v="52"/>
    <x v="2"/>
    <x v="3"/>
    <x v="2"/>
    <x v="0"/>
    <x v="3"/>
    <x v="3"/>
    <x v="8"/>
    <x v="2"/>
  </r>
  <r>
    <x v="1484"/>
    <x v="8"/>
    <x v="2"/>
    <x v="59"/>
    <n v="69.300000000000011"/>
    <x v="55"/>
    <x v="52"/>
    <x v="3"/>
    <x v="2"/>
    <x v="1"/>
    <x v="0"/>
    <x v="3"/>
    <x v="3"/>
    <x v="8"/>
    <x v="3"/>
  </r>
  <r>
    <x v="1485"/>
    <x v="4"/>
    <x v="0"/>
    <x v="208"/>
    <n v="22.3"/>
    <x v="55"/>
    <x v="53"/>
    <x v="2"/>
    <x v="2"/>
    <x v="0"/>
    <x v="0"/>
    <x v="3"/>
    <x v="1"/>
    <x v="8"/>
    <x v="2"/>
  </r>
  <r>
    <x v="1486"/>
    <x v="12"/>
    <x v="1"/>
    <x v="765"/>
    <n v="199"/>
    <x v="55"/>
    <x v="53"/>
    <x v="2"/>
    <x v="2"/>
    <x v="0"/>
    <x v="0"/>
    <x v="3"/>
    <x v="1"/>
    <x v="8"/>
    <x v="2"/>
  </r>
  <r>
    <x v="1487"/>
    <x v="12"/>
    <x v="12"/>
    <x v="68"/>
    <n v="189.6"/>
    <x v="55"/>
    <x v="58"/>
    <x v="2"/>
    <x v="1"/>
    <x v="0"/>
    <x v="0"/>
    <x v="3"/>
    <x v="2"/>
    <x v="8"/>
    <x v="2"/>
  </r>
  <r>
    <x v="1488"/>
    <x v="0"/>
    <x v="5"/>
    <x v="151"/>
    <n v="412.5"/>
    <x v="55"/>
    <x v="53"/>
    <x v="2"/>
    <x v="0"/>
    <x v="3"/>
    <x v="0"/>
    <x v="3"/>
    <x v="1"/>
    <x v="8"/>
    <x v="2"/>
  </r>
  <r>
    <x v="1489"/>
    <x v="10"/>
    <x v="0"/>
    <x v="226"/>
    <n v="45.1"/>
    <x v="55"/>
    <x v="57"/>
    <x v="1"/>
    <x v="3"/>
    <x v="2"/>
    <x v="0"/>
    <x v="24"/>
    <x v="0"/>
    <x v="8"/>
    <x v="1"/>
  </r>
  <r>
    <x v="1490"/>
    <x v="5"/>
    <x v="7"/>
    <x v="766"/>
    <n v="344"/>
    <x v="55"/>
    <x v="58"/>
    <x v="1"/>
    <x v="2"/>
    <x v="0"/>
    <x v="0"/>
    <x v="16"/>
    <x v="2"/>
    <x v="8"/>
    <x v="1"/>
  </r>
  <r>
    <x v="1491"/>
    <x v="4"/>
    <x v="1"/>
    <x v="545"/>
    <n v="76"/>
    <x v="55"/>
    <x v="53"/>
    <x v="2"/>
    <x v="1"/>
    <x v="0"/>
    <x v="0"/>
    <x v="5"/>
    <x v="1"/>
    <x v="8"/>
    <x v="2"/>
  </r>
  <r>
    <x v="1492"/>
    <x v="3"/>
    <x v="21"/>
    <x v="498"/>
    <n v="453.59999999999997"/>
    <x v="55"/>
    <x v="58"/>
    <x v="1"/>
    <x v="4"/>
    <x v="0"/>
    <x v="0"/>
    <x v="6"/>
    <x v="2"/>
    <x v="8"/>
    <x v="1"/>
  </r>
  <r>
    <x v="1493"/>
    <x v="6"/>
    <x v="2"/>
    <x v="446"/>
    <n v="122.69999999999999"/>
    <x v="55"/>
    <x v="51"/>
    <x v="0"/>
    <x v="1"/>
    <x v="0"/>
    <x v="0"/>
    <x v="8"/>
    <x v="7"/>
    <x v="8"/>
    <x v="0"/>
  </r>
  <r>
    <x v="1494"/>
    <x v="7"/>
    <x v="3"/>
    <x v="767"/>
    <n v="533.4"/>
    <x v="55"/>
    <x v="53"/>
    <x v="2"/>
    <x v="2"/>
    <x v="1"/>
    <x v="0"/>
    <x v="8"/>
    <x v="1"/>
    <x v="8"/>
    <x v="2"/>
  </r>
  <r>
    <x v="1495"/>
    <x v="2"/>
    <x v="0"/>
    <x v="768"/>
    <n v="85.6"/>
    <x v="55"/>
    <x v="53"/>
    <x v="1"/>
    <x v="2"/>
    <x v="0"/>
    <x v="0"/>
    <x v="8"/>
    <x v="1"/>
    <x v="8"/>
    <x v="1"/>
  </r>
  <r>
    <x v="1496"/>
    <x v="4"/>
    <x v="12"/>
    <x v="769"/>
    <n v="100"/>
    <x v="55"/>
    <x v="53"/>
    <x v="2"/>
    <x v="2"/>
    <x v="2"/>
    <x v="0"/>
    <x v="8"/>
    <x v="1"/>
    <x v="8"/>
    <x v="2"/>
  </r>
  <r>
    <x v="1497"/>
    <x v="2"/>
    <x v="9"/>
    <x v="770"/>
    <n v="753.5"/>
    <x v="55"/>
    <x v="52"/>
    <x v="0"/>
    <x v="0"/>
    <x v="2"/>
    <x v="0"/>
    <x v="8"/>
    <x v="3"/>
    <x v="8"/>
    <x v="0"/>
  </r>
  <r>
    <x v="1498"/>
    <x v="8"/>
    <x v="0"/>
    <x v="266"/>
    <n v="19.600000000000001"/>
    <x v="55"/>
    <x v="52"/>
    <x v="1"/>
    <x v="1"/>
    <x v="4"/>
    <x v="0"/>
    <x v="8"/>
    <x v="3"/>
    <x v="8"/>
    <x v="1"/>
  </r>
  <r>
    <x v="1499"/>
    <x v="13"/>
    <x v="1"/>
    <x v="151"/>
    <n v="75"/>
    <x v="55"/>
    <x v="58"/>
    <x v="2"/>
    <x v="1"/>
    <x v="2"/>
    <x v="0"/>
    <x v="17"/>
    <x v="2"/>
    <x v="8"/>
    <x v="2"/>
  </r>
  <r>
    <x v="1500"/>
    <x v="9"/>
    <x v="2"/>
    <x v="424"/>
    <n v="155.69999999999999"/>
    <x v="55"/>
    <x v="62"/>
    <x v="2"/>
    <x v="0"/>
    <x v="4"/>
    <x v="0"/>
    <x v="11"/>
    <x v="4"/>
    <x v="8"/>
    <x v="2"/>
  </r>
  <r>
    <x v="1501"/>
    <x v="1"/>
    <x v="1"/>
    <x v="15"/>
    <n v="61.8"/>
    <x v="55"/>
    <x v="53"/>
    <x v="2"/>
    <x v="1"/>
    <x v="0"/>
    <x v="0"/>
    <x v="18"/>
    <x v="1"/>
    <x v="8"/>
    <x v="2"/>
  </r>
  <r>
    <x v="1502"/>
    <x v="4"/>
    <x v="2"/>
    <x v="191"/>
    <n v="63.599999999999994"/>
    <x v="55"/>
    <x v="58"/>
    <x v="2"/>
    <x v="1"/>
    <x v="0"/>
    <x v="0"/>
    <x v="19"/>
    <x v="2"/>
    <x v="8"/>
    <x v="2"/>
  </r>
  <r>
    <x v="1503"/>
    <x v="13"/>
    <x v="14"/>
    <x v="25"/>
    <n v="297.5"/>
    <x v="55"/>
    <x v="52"/>
    <x v="1"/>
    <x v="1"/>
    <x v="1"/>
    <x v="0"/>
    <x v="13"/>
    <x v="3"/>
    <x v="8"/>
    <x v="1"/>
  </r>
  <r>
    <x v="1504"/>
    <x v="12"/>
    <x v="1"/>
    <x v="589"/>
    <n v="107.6"/>
    <x v="55"/>
    <x v="57"/>
    <x v="2"/>
    <x v="0"/>
    <x v="2"/>
    <x v="0"/>
    <x v="21"/>
    <x v="0"/>
    <x v="8"/>
    <x v="2"/>
  </r>
  <r>
    <x v="1505"/>
    <x v="19"/>
    <x v="1"/>
    <x v="771"/>
    <n v="34"/>
    <x v="55"/>
    <x v="52"/>
    <x v="1"/>
    <x v="3"/>
    <x v="0"/>
    <x v="0"/>
    <x v="21"/>
    <x v="3"/>
    <x v="8"/>
    <x v="1"/>
  </r>
  <r>
    <x v="1506"/>
    <x v="6"/>
    <x v="0"/>
    <x v="772"/>
    <n v="103.2"/>
    <x v="55"/>
    <x v="63"/>
    <x v="1"/>
    <x v="2"/>
    <x v="1"/>
    <x v="0"/>
    <x v="1"/>
    <x v="9"/>
    <x v="8"/>
    <x v="1"/>
  </r>
  <r>
    <x v="1507"/>
    <x v="6"/>
    <x v="12"/>
    <x v="451"/>
    <n v="281.2"/>
    <x v="55"/>
    <x v="52"/>
    <x v="1"/>
    <x v="0"/>
    <x v="0"/>
    <x v="0"/>
    <x v="3"/>
    <x v="3"/>
    <x v="8"/>
    <x v="1"/>
  </r>
  <r>
    <x v="1508"/>
    <x v="2"/>
    <x v="1"/>
    <x v="773"/>
    <n v="147.6"/>
    <x v="55"/>
    <x v="51"/>
    <x v="1"/>
    <x v="3"/>
    <x v="2"/>
    <x v="0"/>
    <x v="3"/>
    <x v="7"/>
    <x v="8"/>
    <x v="1"/>
  </r>
  <r>
    <x v="1509"/>
    <x v="1"/>
    <x v="4"/>
    <x v="509"/>
    <n v="812.40000000000009"/>
    <x v="55"/>
    <x v="59"/>
    <x v="1"/>
    <x v="1"/>
    <x v="1"/>
    <x v="0"/>
    <x v="3"/>
    <x v="5"/>
    <x v="8"/>
    <x v="1"/>
  </r>
  <r>
    <x v="1510"/>
    <x v="13"/>
    <x v="3"/>
    <x v="20"/>
    <n v="306.59999999999997"/>
    <x v="55"/>
    <x v="53"/>
    <x v="1"/>
    <x v="1"/>
    <x v="0"/>
    <x v="0"/>
    <x v="3"/>
    <x v="1"/>
    <x v="8"/>
    <x v="1"/>
  </r>
  <r>
    <x v="1511"/>
    <x v="17"/>
    <x v="13"/>
    <x v="774"/>
    <n v="431.40000000000003"/>
    <x v="55"/>
    <x v="52"/>
    <x v="2"/>
    <x v="2"/>
    <x v="0"/>
    <x v="0"/>
    <x v="3"/>
    <x v="3"/>
    <x v="8"/>
    <x v="2"/>
  </r>
  <r>
    <x v="1512"/>
    <x v="8"/>
    <x v="1"/>
    <x v="133"/>
    <n v="52.6"/>
    <x v="56"/>
    <x v="58"/>
    <x v="2"/>
    <x v="0"/>
    <x v="1"/>
    <x v="0"/>
    <x v="3"/>
    <x v="1"/>
    <x v="8"/>
    <x v="2"/>
  </r>
  <r>
    <x v="1513"/>
    <x v="6"/>
    <x v="12"/>
    <x v="699"/>
    <n v="210.4"/>
    <x v="56"/>
    <x v="58"/>
    <x v="2"/>
    <x v="2"/>
    <x v="1"/>
    <x v="0"/>
    <x v="3"/>
    <x v="1"/>
    <x v="8"/>
    <x v="2"/>
  </r>
  <r>
    <x v="1514"/>
    <x v="10"/>
    <x v="0"/>
    <x v="195"/>
    <n v="32.700000000000003"/>
    <x v="56"/>
    <x v="63"/>
    <x v="2"/>
    <x v="0"/>
    <x v="2"/>
    <x v="0"/>
    <x v="3"/>
    <x v="6"/>
    <x v="8"/>
    <x v="2"/>
  </r>
  <r>
    <x v="1515"/>
    <x v="5"/>
    <x v="12"/>
    <x v="400"/>
    <n v="155.6"/>
    <x v="56"/>
    <x v="53"/>
    <x v="2"/>
    <x v="0"/>
    <x v="0"/>
    <x v="0"/>
    <x v="3"/>
    <x v="3"/>
    <x v="8"/>
    <x v="2"/>
  </r>
  <r>
    <x v="1516"/>
    <x v="9"/>
    <x v="9"/>
    <x v="775"/>
    <n v="175"/>
    <x v="56"/>
    <x v="58"/>
    <x v="1"/>
    <x v="0"/>
    <x v="0"/>
    <x v="0"/>
    <x v="3"/>
    <x v="1"/>
    <x v="8"/>
    <x v="1"/>
  </r>
  <r>
    <x v="1517"/>
    <x v="2"/>
    <x v="1"/>
    <x v="776"/>
    <n v="242"/>
    <x v="56"/>
    <x v="53"/>
    <x v="2"/>
    <x v="1"/>
    <x v="1"/>
    <x v="0"/>
    <x v="3"/>
    <x v="3"/>
    <x v="8"/>
    <x v="2"/>
  </r>
  <r>
    <x v="1518"/>
    <x v="6"/>
    <x v="2"/>
    <x v="146"/>
    <n v="195.29999999999998"/>
    <x v="56"/>
    <x v="57"/>
    <x v="1"/>
    <x v="2"/>
    <x v="0"/>
    <x v="0"/>
    <x v="36"/>
    <x v="5"/>
    <x v="8"/>
    <x v="1"/>
  </r>
  <r>
    <x v="1519"/>
    <x v="1"/>
    <x v="38"/>
    <x v="259"/>
    <n v="1339.8"/>
    <x v="56"/>
    <x v="58"/>
    <x v="2"/>
    <x v="0"/>
    <x v="0"/>
    <x v="0"/>
    <x v="8"/>
    <x v="1"/>
    <x v="8"/>
    <x v="2"/>
  </r>
  <r>
    <x v="1520"/>
    <x v="7"/>
    <x v="0"/>
    <x v="777"/>
    <n v="77.7"/>
    <x v="56"/>
    <x v="58"/>
    <x v="1"/>
    <x v="0"/>
    <x v="0"/>
    <x v="0"/>
    <x v="8"/>
    <x v="1"/>
    <x v="8"/>
    <x v="1"/>
  </r>
  <r>
    <x v="1521"/>
    <x v="5"/>
    <x v="12"/>
    <x v="322"/>
    <n v="241.2"/>
    <x v="56"/>
    <x v="52"/>
    <x v="1"/>
    <x v="0"/>
    <x v="2"/>
    <x v="0"/>
    <x v="8"/>
    <x v="7"/>
    <x v="8"/>
    <x v="1"/>
  </r>
  <r>
    <x v="1522"/>
    <x v="5"/>
    <x v="1"/>
    <x v="778"/>
    <n v="248.2"/>
    <x v="56"/>
    <x v="59"/>
    <x v="2"/>
    <x v="0"/>
    <x v="2"/>
    <x v="0"/>
    <x v="8"/>
    <x v="2"/>
    <x v="8"/>
    <x v="2"/>
  </r>
  <r>
    <x v="1523"/>
    <x v="16"/>
    <x v="3"/>
    <x v="779"/>
    <n v="462"/>
    <x v="56"/>
    <x v="52"/>
    <x v="0"/>
    <x v="3"/>
    <x v="0"/>
    <x v="0"/>
    <x v="17"/>
    <x v="7"/>
    <x v="8"/>
    <x v="0"/>
  </r>
  <r>
    <x v="1524"/>
    <x v="2"/>
    <x v="42"/>
    <x v="537"/>
    <n v="7446.6"/>
    <x v="56"/>
    <x v="62"/>
    <x v="0"/>
    <x v="0"/>
    <x v="0"/>
    <x v="0"/>
    <x v="17"/>
    <x v="0"/>
    <x v="8"/>
    <x v="0"/>
  </r>
  <r>
    <x v="1525"/>
    <x v="5"/>
    <x v="9"/>
    <x v="780"/>
    <n v="321.5"/>
    <x v="56"/>
    <x v="53"/>
    <x v="1"/>
    <x v="4"/>
    <x v="4"/>
    <x v="0"/>
    <x v="26"/>
    <x v="3"/>
    <x v="8"/>
    <x v="1"/>
  </r>
  <r>
    <x v="1526"/>
    <x v="1"/>
    <x v="1"/>
    <x v="76"/>
    <n v="109.6"/>
    <x v="56"/>
    <x v="52"/>
    <x v="1"/>
    <x v="0"/>
    <x v="1"/>
    <x v="0"/>
    <x v="26"/>
    <x v="7"/>
    <x v="8"/>
    <x v="1"/>
  </r>
  <r>
    <x v="1527"/>
    <x v="7"/>
    <x v="1"/>
    <x v="716"/>
    <n v="157.19999999999999"/>
    <x v="56"/>
    <x v="53"/>
    <x v="1"/>
    <x v="0"/>
    <x v="2"/>
    <x v="0"/>
    <x v="9"/>
    <x v="3"/>
    <x v="8"/>
    <x v="1"/>
  </r>
  <r>
    <x v="1528"/>
    <x v="2"/>
    <x v="9"/>
    <x v="781"/>
    <n v="792.5"/>
    <x v="56"/>
    <x v="58"/>
    <x v="0"/>
    <x v="2"/>
    <x v="2"/>
    <x v="0"/>
    <x v="9"/>
    <x v="1"/>
    <x v="8"/>
    <x v="0"/>
  </r>
  <r>
    <x v="1529"/>
    <x v="4"/>
    <x v="7"/>
    <x v="234"/>
    <n v="235"/>
    <x v="56"/>
    <x v="59"/>
    <x v="1"/>
    <x v="0"/>
    <x v="4"/>
    <x v="0"/>
    <x v="10"/>
    <x v="2"/>
    <x v="8"/>
    <x v="1"/>
  </r>
  <r>
    <x v="1530"/>
    <x v="5"/>
    <x v="1"/>
    <x v="201"/>
    <n v="64.2"/>
    <x v="56"/>
    <x v="58"/>
    <x v="0"/>
    <x v="3"/>
    <x v="0"/>
    <x v="0"/>
    <x v="10"/>
    <x v="1"/>
    <x v="8"/>
    <x v="0"/>
  </r>
  <r>
    <x v="1531"/>
    <x v="17"/>
    <x v="12"/>
    <x v="774"/>
    <n v="287.60000000000002"/>
    <x v="56"/>
    <x v="52"/>
    <x v="1"/>
    <x v="2"/>
    <x v="0"/>
    <x v="0"/>
    <x v="19"/>
    <x v="7"/>
    <x v="8"/>
    <x v="1"/>
  </r>
  <r>
    <x v="1532"/>
    <x v="4"/>
    <x v="13"/>
    <x v="208"/>
    <n v="133.80000000000001"/>
    <x v="56"/>
    <x v="53"/>
    <x v="0"/>
    <x v="3"/>
    <x v="2"/>
    <x v="0"/>
    <x v="13"/>
    <x v="3"/>
    <x v="8"/>
    <x v="0"/>
  </r>
  <r>
    <x v="1533"/>
    <x v="11"/>
    <x v="1"/>
    <x v="669"/>
    <n v="59"/>
    <x v="56"/>
    <x v="53"/>
    <x v="2"/>
    <x v="0"/>
    <x v="2"/>
    <x v="0"/>
    <x v="13"/>
    <x v="3"/>
    <x v="8"/>
    <x v="2"/>
  </r>
  <r>
    <x v="1534"/>
    <x v="6"/>
    <x v="12"/>
    <x v="245"/>
    <n v="167.6"/>
    <x v="56"/>
    <x v="57"/>
    <x v="2"/>
    <x v="0"/>
    <x v="1"/>
    <x v="0"/>
    <x v="21"/>
    <x v="5"/>
    <x v="8"/>
    <x v="2"/>
  </r>
  <r>
    <x v="1535"/>
    <x v="6"/>
    <x v="2"/>
    <x v="782"/>
    <n v="323.39999999999998"/>
    <x v="56"/>
    <x v="53"/>
    <x v="1"/>
    <x v="1"/>
    <x v="2"/>
    <x v="0"/>
    <x v="46"/>
    <x v="3"/>
    <x v="8"/>
    <x v="1"/>
  </r>
  <r>
    <x v="1536"/>
    <x v="4"/>
    <x v="9"/>
    <x v="606"/>
    <n v="90.5"/>
    <x v="56"/>
    <x v="59"/>
    <x v="1"/>
    <x v="0"/>
    <x v="2"/>
    <x v="0"/>
    <x v="2"/>
    <x v="2"/>
    <x v="8"/>
    <x v="1"/>
  </r>
  <r>
    <x v="1537"/>
    <x v="12"/>
    <x v="11"/>
    <x v="304"/>
    <n v="718.19999999999993"/>
    <x v="56"/>
    <x v="53"/>
    <x v="2"/>
    <x v="1"/>
    <x v="1"/>
    <x v="0"/>
    <x v="22"/>
    <x v="3"/>
    <x v="8"/>
    <x v="2"/>
  </r>
  <r>
    <x v="1538"/>
    <x v="0"/>
    <x v="2"/>
    <x v="208"/>
    <n v="66.900000000000006"/>
    <x v="56"/>
    <x v="59"/>
    <x v="2"/>
    <x v="0"/>
    <x v="2"/>
    <x v="0"/>
    <x v="22"/>
    <x v="2"/>
    <x v="8"/>
    <x v="2"/>
  </r>
  <r>
    <x v="1539"/>
    <x v="8"/>
    <x v="0"/>
    <x v="409"/>
    <n v="22.9"/>
    <x v="56"/>
    <x v="52"/>
    <x v="2"/>
    <x v="1"/>
    <x v="0"/>
    <x v="0"/>
    <x v="22"/>
    <x v="7"/>
    <x v="8"/>
    <x v="2"/>
  </r>
  <r>
    <x v="1540"/>
    <x v="0"/>
    <x v="2"/>
    <x v="261"/>
    <n v="48.599999999999994"/>
    <x v="57"/>
    <x v="53"/>
    <x v="1"/>
    <x v="4"/>
    <x v="2"/>
    <x v="0"/>
    <x v="3"/>
    <x v="7"/>
    <x v="8"/>
    <x v="1"/>
  </r>
  <r>
    <x v="1541"/>
    <x v="10"/>
    <x v="12"/>
    <x v="233"/>
    <n v="238"/>
    <x v="57"/>
    <x v="58"/>
    <x v="1"/>
    <x v="1"/>
    <x v="2"/>
    <x v="0"/>
    <x v="3"/>
    <x v="3"/>
    <x v="8"/>
    <x v="1"/>
  </r>
  <r>
    <x v="1542"/>
    <x v="18"/>
    <x v="9"/>
    <x v="457"/>
    <n v="131"/>
    <x v="57"/>
    <x v="57"/>
    <x v="1"/>
    <x v="3"/>
    <x v="4"/>
    <x v="0"/>
    <x v="3"/>
    <x v="2"/>
    <x v="8"/>
    <x v="1"/>
  </r>
  <r>
    <x v="1543"/>
    <x v="3"/>
    <x v="0"/>
    <x v="236"/>
    <n v="44.2"/>
    <x v="57"/>
    <x v="57"/>
    <x v="2"/>
    <x v="1"/>
    <x v="0"/>
    <x v="0"/>
    <x v="3"/>
    <x v="2"/>
    <x v="8"/>
    <x v="2"/>
  </r>
  <r>
    <x v="1544"/>
    <x v="9"/>
    <x v="1"/>
    <x v="737"/>
    <n v="118.4"/>
    <x v="57"/>
    <x v="53"/>
    <x v="2"/>
    <x v="1"/>
    <x v="4"/>
    <x v="0"/>
    <x v="3"/>
    <x v="7"/>
    <x v="8"/>
    <x v="2"/>
  </r>
  <r>
    <x v="1545"/>
    <x v="15"/>
    <x v="12"/>
    <x v="329"/>
    <n v="166"/>
    <x v="57"/>
    <x v="59"/>
    <x v="2"/>
    <x v="0"/>
    <x v="0"/>
    <x v="0"/>
    <x v="16"/>
    <x v="1"/>
    <x v="8"/>
    <x v="2"/>
  </r>
  <r>
    <x v="1546"/>
    <x v="6"/>
    <x v="4"/>
    <x v="783"/>
    <n v="805.19999999999993"/>
    <x v="57"/>
    <x v="64"/>
    <x v="2"/>
    <x v="0"/>
    <x v="2"/>
    <x v="0"/>
    <x v="23"/>
    <x v="12"/>
    <x v="8"/>
    <x v="2"/>
  </r>
  <r>
    <x v="1547"/>
    <x v="8"/>
    <x v="1"/>
    <x v="167"/>
    <n v="57.4"/>
    <x v="57"/>
    <x v="62"/>
    <x v="2"/>
    <x v="1"/>
    <x v="0"/>
    <x v="0"/>
    <x v="6"/>
    <x v="5"/>
    <x v="8"/>
    <x v="2"/>
  </r>
  <r>
    <x v="1548"/>
    <x v="2"/>
    <x v="12"/>
    <x v="784"/>
    <n v="528.4"/>
    <x v="57"/>
    <x v="58"/>
    <x v="2"/>
    <x v="0"/>
    <x v="1"/>
    <x v="0"/>
    <x v="6"/>
    <x v="3"/>
    <x v="8"/>
    <x v="2"/>
  </r>
  <r>
    <x v="1549"/>
    <x v="18"/>
    <x v="1"/>
    <x v="642"/>
    <n v="94"/>
    <x v="57"/>
    <x v="59"/>
    <x v="1"/>
    <x v="4"/>
    <x v="0"/>
    <x v="0"/>
    <x v="8"/>
    <x v="1"/>
    <x v="8"/>
    <x v="1"/>
  </r>
  <r>
    <x v="1550"/>
    <x v="8"/>
    <x v="1"/>
    <x v="654"/>
    <n v="83.2"/>
    <x v="57"/>
    <x v="62"/>
    <x v="1"/>
    <x v="1"/>
    <x v="2"/>
    <x v="0"/>
    <x v="8"/>
    <x v="5"/>
    <x v="8"/>
    <x v="1"/>
  </r>
  <r>
    <x v="1551"/>
    <x v="8"/>
    <x v="43"/>
    <x v="161"/>
    <n v="657.4"/>
    <x v="57"/>
    <x v="59"/>
    <x v="1"/>
    <x v="2"/>
    <x v="2"/>
    <x v="0"/>
    <x v="8"/>
    <x v="1"/>
    <x v="8"/>
    <x v="1"/>
  </r>
  <r>
    <x v="1552"/>
    <x v="13"/>
    <x v="2"/>
    <x v="80"/>
    <n v="125.39999999999999"/>
    <x v="57"/>
    <x v="57"/>
    <x v="1"/>
    <x v="0"/>
    <x v="2"/>
    <x v="0"/>
    <x v="8"/>
    <x v="2"/>
    <x v="8"/>
    <x v="1"/>
  </r>
  <r>
    <x v="1553"/>
    <x v="10"/>
    <x v="0"/>
    <x v="209"/>
    <n v="24"/>
    <x v="57"/>
    <x v="58"/>
    <x v="2"/>
    <x v="0"/>
    <x v="0"/>
    <x v="0"/>
    <x v="17"/>
    <x v="3"/>
    <x v="8"/>
    <x v="2"/>
  </r>
  <r>
    <x v="1554"/>
    <x v="14"/>
    <x v="11"/>
    <x v="99"/>
    <n v="166.5"/>
    <x v="57"/>
    <x v="59"/>
    <x v="2"/>
    <x v="0"/>
    <x v="0"/>
    <x v="0"/>
    <x v="9"/>
    <x v="1"/>
    <x v="8"/>
    <x v="2"/>
  </r>
  <r>
    <x v="1555"/>
    <x v="3"/>
    <x v="4"/>
    <x v="14"/>
    <n v="800.40000000000009"/>
    <x v="57"/>
    <x v="57"/>
    <x v="0"/>
    <x v="0"/>
    <x v="2"/>
    <x v="0"/>
    <x v="11"/>
    <x v="2"/>
    <x v="8"/>
    <x v="0"/>
  </r>
  <r>
    <x v="1556"/>
    <x v="1"/>
    <x v="12"/>
    <x v="199"/>
    <n v="132.4"/>
    <x v="57"/>
    <x v="61"/>
    <x v="1"/>
    <x v="3"/>
    <x v="0"/>
    <x v="0"/>
    <x v="11"/>
    <x v="0"/>
    <x v="8"/>
    <x v="1"/>
  </r>
  <r>
    <x v="1557"/>
    <x v="19"/>
    <x v="11"/>
    <x v="624"/>
    <n v="378.90000000000003"/>
    <x v="57"/>
    <x v="65"/>
    <x v="1"/>
    <x v="1"/>
    <x v="0"/>
    <x v="0"/>
    <x v="18"/>
    <x v="11"/>
    <x v="8"/>
    <x v="1"/>
  </r>
  <r>
    <x v="1558"/>
    <x v="18"/>
    <x v="3"/>
    <x v="785"/>
    <n v="410.90000000000003"/>
    <x v="57"/>
    <x v="53"/>
    <x v="3"/>
    <x v="3"/>
    <x v="0"/>
    <x v="0"/>
    <x v="31"/>
    <x v="7"/>
    <x v="8"/>
    <x v="3"/>
  </r>
  <r>
    <x v="1559"/>
    <x v="6"/>
    <x v="12"/>
    <x v="641"/>
    <n v="216"/>
    <x v="57"/>
    <x v="59"/>
    <x v="2"/>
    <x v="1"/>
    <x v="0"/>
    <x v="0"/>
    <x v="1"/>
    <x v="1"/>
    <x v="8"/>
    <x v="2"/>
  </r>
  <r>
    <x v="1560"/>
    <x v="8"/>
    <x v="0"/>
    <x v="184"/>
    <n v="52.1"/>
    <x v="57"/>
    <x v="58"/>
    <x v="2"/>
    <x v="2"/>
    <x v="2"/>
    <x v="0"/>
    <x v="2"/>
    <x v="3"/>
    <x v="8"/>
    <x v="2"/>
  </r>
  <r>
    <x v="1561"/>
    <x v="19"/>
    <x v="1"/>
    <x v="49"/>
    <n v="54"/>
    <x v="57"/>
    <x v="57"/>
    <x v="3"/>
    <x v="2"/>
    <x v="0"/>
    <x v="0"/>
    <x v="22"/>
    <x v="2"/>
    <x v="8"/>
    <x v="3"/>
  </r>
  <r>
    <x v="1562"/>
    <x v="12"/>
    <x v="7"/>
    <x v="452"/>
    <n v="310"/>
    <x v="58"/>
    <x v="59"/>
    <x v="2"/>
    <x v="3"/>
    <x v="2"/>
    <x v="0"/>
    <x v="22"/>
    <x v="3"/>
    <x v="8"/>
    <x v="2"/>
  </r>
  <r>
    <x v="1563"/>
    <x v="10"/>
    <x v="1"/>
    <x v="21"/>
    <n v="93.4"/>
    <x v="58"/>
    <x v="58"/>
    <x v="2"/>
    <x v="0"/>
    <x v="0"/>
    <x v="0"/>
    <x v="34"/>
    <x v="7"/>
    <x v="8"/>
    <x v="2"/>
  </r>
  <r>
    <x v="1564"/>
    <x v="6"/>
    <x v="0"/>
    <x v="786"/>
    <n v="144.69999999999999"/>
    <x v="58"/>
    <x v="62"/>
    <x v="1"/>
    <x v="0"/>
    <x v="2"/>
    <x v="0"/>
    <x v="3"/>
    <x v="2"/>
    <x v="8"/>
    <x v="1"/>
  </r>
  <r>
    <x v="1565"/>
    <x v="2"/>
    <x v="11"/>
    <x v="238"/>
    <n v="818.1"/>
    <x v="58"/>
    <x v="59"/>
    <x v="1"/>
    <x v="0"/>
    <x v="2"/>
    <x v="0"/>
    <x v="3"/>
    <x v="3"/>
    <x v="8"/>
    <x v="1"/>
  </r>
  <r>
    <x v="1566"/>
    <x v="1"/>
    <x v="1"/>
    <x v="124"/>
    <n v="151.6"/>
    <x v="58"/>
    <x v="59"/>
    <x v="2"/>
    <x v="2"/>
    <x v="1"/>
    <x v="0"/>
    <x v="3"/>
    <x v="3"/>
    <x v="8"/>
    <x v="2"/>
  </r>
  <r>
    <x v="1567"/>
    <x v="7"/>
    <x v="9"/>
    <x v="787"/>
    <n v="289.5"/>
    <x v="58"/>
    <x v="57"/>
    <x v="1"/>
    <x v="2"/>
    <x v="2"/>
    <x v="0"/>
    <x v="3"/>
    <x v="1"/>
    <x v="8"/>
    <x v="1"/>
  </r>
  <r>
    <x v="1568"/>
    <x v="8"/>
    <x v="9"/>
    <x v="788"/>
    <n v="224"/>
    <x v="58"/>
    <x v="59"/>
    <x v="2"/>
    <x v="3"/>
    <x v="2"/>
    <x v="0"/>
    <x v="3"/>
    <x v="3"/>
    <x v="8"/>
    <x v="2"/>
  </r>
  <r>
    <x v="1569"/>
    <x v="9"/>
    <x v="2"/>
    <x v="236"/>
    <n v="132.60000000000002"/>
    <x v="58"/>
    <x v="61"/>
    <x v="1"/>
    <x v="2"/>
    <x v="2"/>
    <x v="0"/>
    <x v="3"/>
    <x v="5"/>
    <x v="8"/>
    <x v="1"/>
  </r>
  <r>
    <x v="1570"/>
    <x v="5"/>
    <x v="9"/>
    <x v="789"/>
    <n v="267.5"/>
    <x v="58"/>
    <x v="57"/>
    <x v="1"/>
    <x v="0"/>
    <x v="0"/>
    <x v="0"/>
    <x v="37"/>
    <x v="1"/>
    <x v="8"/>
    <x v="1"/>
  </r>
  <r>
    <x v="1571"/>
    <x v="6"/>
    <x v="1"/>
    <x v="489"/>
    <n v="144.4"/>
    <x v="58"/>
    <x v="59"/>
    <x v="1"/>
    <x v="0"/>
    <x v="2"/>
    <x v="0"/>
    <x v="25"/>
    <x v="3"/>
    <x v="8"/>
    <x v="1"/>
  </r>
  <r>
    <x v="1572"/>
    <x v="6"/>
    <x v="12"/>
    <x v="470"/>
    <n v="249.6"/>
    <x v="58"/>
    <x v="62"/>
    <x v="2"/>
    <x v="0"/>
    <x v="1"/>
    <x v="0"/>
    <x v="23"/>
    <x v="2"/>
    <x v="8"/>
    <x v="2"/>
  </r>
  <r>
    <x v="1573"/>
    <x v="10"/>
    <x v="9"/>
    <x v="605"/>
    <n v="123.5"/>
    <x v="58"/>
    <x v="59"/>
    <x v="2"/>
    <x v="0"/>
    <x v="0"/>
    <x v="0"/>
    <x v="6"/>
    <x v="3"/>
    <x v="8"/>
    <x v="2"/>
  </r>
  <r>
    <x v="1574"/>
    <x v="1"/>
    <x v="9"/>
    <x v="227"/>
    <n v="308.5"/>
    <x v="58"/>
    <x v="57"/>
    <x v="2"/>
    <x v="2"/>
    <x v="0"/>
    <x v="0"/>
    <x v="8"/>
    <x v="1"/>
    <x v="8"/>
    <x v="2"/>
  </r>
  <r>
    <x v="1575"/>
    <x v="8"/>
    <x v="9"/>
    <x v="762"/>
    <n v="91"/>
    <x v="58"/>
    <x v="57"/>
    <x v="2"/>
    <x v="3"/>
    <x v="0"/>
    <x v="0"/>
    <x v="8"/>
    <x v="1"/>
    <x v="8"/>
    <x v="2"/>
  </r>
  <r>
    <x v="1576"/>
    <x v="10"/>
    <x v="12"/>
    <x v="790"/>
    <n v="148.80000000000001"/>
    <x v="58"/>
    <x v="66"/>
    <x v="2"/>
    <x v="0"/>
    <x v="0"/>
    <x v="0"/>
    <x v="8"/>
    <x v="4"/>
    <x v="8"/>
    <x v="2"/>
  </r>
  <r>
    <x v="1577"/>
    <x v="9"/>
    <x v="2"/>
    <x v="789"/>
    <n v="160.5"/>
    <x v="58"/>
    <x v="57"/>
    <x v="2"/>
    <x v="1"/>
    <x v="2"/>
    <x v="0"/>
    <x v="9"/>
    <x v="1"/>
    <x v="8"/>
    <x v="2"/>
  </r>
  <r>
    <x v="1578"/>
    <x v="8"/>
    <x v="2"/>
    <x v="458"/>
    <n v="130.80000000000001"/>
    <x v="58"/>
    <x v="58"/>
    <x v="2"/>
    <x v="0"/>
    <x v="0"/>
    <x v="0"/>
    <x v="9"/>
    <x v="7"/>
    <x v="8"/>
    <x v="2"/>
  </r>
  <r>
    <x v="1579"/>
    <x v="1"/>
    <x v="7"/>
    <x v="637"/>
    <n v="1350"/>
    <x v="58"/>
    <x v="57"/>
    <x v="2"/>
    <x v="0"/>
    <x v="2"/>
    <x v="0"/>
    <x v="9"/>
    <x v="1"/>
    <x v="8"/>
    <x v="2"/>
  </r>
  <r>
    <x v="1580"/>
    <x v="8"/>
    <x v="9"/>
    <x v="153"/>
    <n v="192.5"/>
    <x v="58"/>
    <x v="58"/>
    <x v="1"/>
    <x v="4"/>
    <x v="2"/>
    <x v="0"/>
    <x v="10"/>
    <x v="7"/>
    <x v="8"/>
    <x v="1"/>
  </r>
  <r>
    <x v="1581"/>
    <x v="9"/>
    <x v="1"/>
    <x v="209"/>
    <n v="48"/>
    <x v="58"/>
    <x v="63"/>
    <x v="2"/>
    <x v="0"/>
    <x v="0"/>
    <x v="0"/>
    <x v="11"/>
    <x v="0"/>
    <x v="8"/>
    <x v="2"/>
  </r>
  <r>
    <x v="1582"/>
    <x v="4"/>
    <x v="2"/>
    <x v="742"/>
    <n v="84.6"/>
    <x v="58"/>
    <x v="57"/>
    <x v="1"/>
    <x v="0"/>
    <x v="3"/>
    <x v="0"/>
    <x v="18"/>
    <x v="1"/>
    <x v="8"/>
    <x v="1"/>
  </r>
  <r>
    <x v="1583"/>
    <x v="7"/>
    <x v="2"/>
    <x v="484"/>
    <n v="112.19999999999999"/>
    <x v="58"/>
    <x v="59"/>
    <x v="2"/>
    <x v="3"/>
    <x v="0"/>
    <x v="0"/>
    <x v="1"/>
    <x v="3"/>
    <x v="8"/>
    <x v="2"/>
  </r>
  <r>
    <x v="1584"/>
    <x v="6"/>
    <x v="2"/>
    <x v="789"/>
    <n v="160.5"/>
    <x v="58"/>
    <x v="62"/>
    <x v="0"/>
    <x v="4"/>
    <x v="4"/>
    <x v="0"/>
    <x v="1"/>
    <x v="2"/>
    <x v="8"/>
    <x v="0"/>
  </r>
  <r>
    <x v="1585"/>
    <x v="11"/>
    <x v="9"/>
    <x v="310"/>
    <n v="181"/>
    <x v="58"/>
    <x v="59"/>
    <x v="1"/>
    <x v="1"/>
    <x v="2"/>
    <x v="0"/>
    <x v="33"/>
    <x v="3"/>
    <x v="8"/>
    <x v="1"/>
  </r>
  <r>
    <x v="1586"/>
    <x v="0"/>
    <x v="8"/>
    <x v="590"/>
    <n v="255.2"/>
    <x v="58"/>
    <x v="59"/>
    <x v="2"/>
    <x v="4"/>
    <x v="0"/>
    <x v="0"/>
    <x v="3"/>
    <x v="3"/>
    <x v="8"/>
    <x v="2"/>
  </r>
  <r>
    <x v="1587"/>
    <x v="8"/>
    <x v="2"/>
    <x v="210"/>
    <n v="63.900000000000006"/>
    <x v="58"/>
    <x v="59"/>
    <x v="1"/>
    <x v="0"/>
    <x v="2"/>
    <x v="0"/>
    <x v="3"/>
    <x v="3"/>
    <x v="8"/>
    <x v="1"/>
  </r>
  <r>
    <x v="1588"/>
    <x v="8"/>
    <x v="0"/>
    <x v="791"/>
    <n v="36.299999999999997"/>
    <x v="58"/>
    <x v="57"/>
    <x v="3"/>
    <x v="4"/>
    <x v="0"/>
    <x v="0"/>
    <x v="3"/>
    <x v="1"/>
    <x v="8"/>
    <x v="3"/>
  </r>
  <r>
    <x v="1589"/>
    <x v="6"/>
    <x v="2"/>
    <x v="792"/>
    <n v="331.5"/>
    <x v="58"/>
    <x v="59"/>
    <x v="2"/>
    <x v="0"/>
    <x v="3"/>
    <x v="0"/>
    <x v="3"/>
    <x v="3"/>
    <x v="8"/>
    <x v="2"/>
  </r>
  <r>
    <x v="1590"/>
    <x v="10"/>
    <x v="3"/>
    <x v="101"/>
    <n v="228.20000000000002"/>
    <x v="58"/>
    <x v="57"/>
    <x v="2"/>
    <x v="0"/>
    <x v="1"/>
    <x v="0"/>
    <x v="3"/>
    <x v="1"/>
    <x v="8"/>
    <x v="2"/>
  </r>
  <r>
    <x v="1591"/>
    <x v="5"/>
    <x v="2"/>
    <x v="495"/>
    <n v="166.8"/>
    <x v="59"/>
    <x v="67"/>
    <x v="2"/>
    <x v="0"/>
    <x v="0"/>
    <x v="0"/>
    <x v="3"/>
    <x v="10"/>
    <x v="8"/>
    <x v="2"/>
  </r>
  <r>
    <x v="1592"/>
    <x v="1"/>
    <x v="12"/>
    <x v="545"/>
    <n v="152"/>
    <x v="59"/>
    <x v="57"/>
    <x v="2"/>
    <x v="3"/>
    <x v="2"/>
    <x v="0"/>
    <x v="5"/>
    <x v="3"/>
    <x v="8"/>
    <x v="2"/>
  </r>
  <r>
    <x v="1593"/>
    <x v="10"/>
    <x v="1"/>
    <x v="147"/>
    <n v="103.6"/>
    <x v="59"/>
    <x v="68"/>
    <x v="1"/>
    <x v="1"/>
    <x v="4"/>
    <x v="0"/>
    <x v="6"/>
    <x v="4"/>
    <x v="8"/>
    <x v="1"/>
  </r>
  <r>
    <x v="1594"/>
    <x v="11"/>
    <x v="8"/>
    <x v="167"/>
    <n v="229.6"/>
    <x v="59"/>
    <x v="66"/>
    <x v="2"/>
    <x v="0"/>
    <x v="0"/>
    <x v="0"/>
    <x v="6"/>
    <x v="0"/>
    <x v="8"/>
    <x v="2"/>
  </r>
  <r>
    <x v="1595"/>
    <x v="6"/>
    <x v="4"/>
    <x v="793"/>
    <n v="626.40000000000009"/>
    <x v="59"/>
    <x v="59"/>
    <x v="1"/>
    <x v="0"/>
    <x v="1"/>
    <x v="0"/>
    <x v="6"/>
    <x v="7"/>
    <x v="8"/>
    <x v="1"/>
  </r>
  <r>
    <x v="1596"/>
    <x v="1"/>
    <x v="1"/>
    <x v="197"/>
    <n v="136.4"/>
    <x v="59"/>
    <x v="57"/>
    <x v="0"/>
    <x v="2"/>
    <x v="0"/>
    <x v="0"/>
    <x v="7"/>
    <x v="3"/>
    <x v="8"/>
    <x v="0"/>
  </r>
  <r>
    <x v="1597"/>
    <x v="0"/>
    <x v="2"/>
    <x v="324"/>
    <n v="102"/>
    <x v="59"/>
    <x v="63"/>
    <x v="2"/>
    <x v="0"/>
    <x v="0"/>
    <x v="0"/>
    <x v="8"/>
    <x v="5"/>
    <x v="8"/>
    <x v="2"/>
  </r>
  <r>
    <x v="1598"/>
    <x v="8"/>
    <x v="2"/>
    <x v="30"/>
    <n v="57.300000000000004"/>
    <x v="59"/>
    <x v="57"/>
    <x v="2"/>
    <x v="4"/>
    <x v="0"/>
    <x v="0"/>
    <x v="8"/>
    <x v="3"/>
    <x v="8"/>
    <x v="2"/>
  </r>
  <r>
    <x v="1599"/>
    <x v="5"/>
    <x v="8"/>
    <x v="324"/>
    <n v="272"/>
    <x v="59"/>
    <x v="60"/>
    <x v="2"/>
    <x v="4"/>
    <x v="0"/>
    <x v="0"/>
    <x v="8"/>
    <x v="9"/>
    <x v="8"/>
    <x v="2"/>
  </r>
  <r>
    <x v="1600"/>
    <x v="12"/>
    <x v="1"/>
    <x v="189"/>
    <n v="218.2"/>
    <x v="59"/>
    <x v="62"/>
    <x v="1"/>
    <x v="0"/>
    <x v="2"/>
    <x v="0"/>
    <x v="8"/>
    <x v="1"/>
    <x v="8"/>
    <x v="1"/>
  </r>
  <r>
    <x v="1601"/>
    <x v="18"/>
    <x v="1"/>
    <x v="497"/>
    <n v="129.6"/>
    <x v="59"/>
    <x v="62"/>
    <x v="1"/>
    <x v="0"/>
    <x v="2"/>
    <x v="0"/>
    <x v="8"/>
    <x v="1"/>
    <x v="8"/>
    <x v="1"/>
  </r>
  <r>
    <x v="1602"/>
    <x v="10"/>
    <x v="1"/>
    <x v="438"/>
    <n v="42.2"/>
    <x v="59"/>
    <x v="59"/>
    <x v="2"/>
    <x v="1"/>
    <x v="0"/>
    <x v="0"/>
    <x v="11"/>
    <x v="7"/>
    <x v="8"/>
    <x v="2"/>
  </r>
  <r>
    <x v="1603"/>
    <x v="0"/>
    <x v="8"/>
    <x v="210"/>
    <n v="170.4"/>
    <x v="59"/>
    <x v="62"/>
    <x v="1"/>
    <x v="3"/>
    <x v="1"/>
    <x v="0"/>
    <x v="18"/>
    <x v="1"/>
    <x v="8"/>
    <x v="1"/>
  </r>
  <r>
    <x v="1604"/>
    <x v="9"/>
    <x v="2"/>
    <x v="51"/>
    <n v="72.900000000000006"/>
    <x v="59"/>
    <x v="57"/>
    <x v="1"/>
    <x v="1"/>
    <x v="0"/>
    <x v="0"/>
    <x v="19"/>
    <x v="3"/>
    <x v="8"/>
    <x v="1"/>
  </r>
  <r>
    <x v="1605"/>
    <x v="8"/>
    <x v="0"/>
    <x v="705"/>
    <n v="43.3"/>
    <x v="59"/>
    <x v="63"/>
    <x v="1"/>
    <x v="1"/>
    <x v="1"/>
    <x v="0"/>
    <x v="13"/>
    <x v="5"/>
    <x v="8"/>
    <x v="1"/>
  </r>
  <r>
    <x v="1606"/>
    <x v="9"/>
    <x v="2"/>
    <x v="29"/>
    <n v="123"/>
    <x v="59"/>
    <x v="57"/>
    <x v="2"/>
    <x v="3"/>
    <x v="4"/>
    <x v="0"/>
    <x v="21"/>
    <x v="3"/>
    <x v="8"/>
    <x v="2"/>
  </r>
  <r>
    <x v="1607"/>
    <x v="16"/>
    <x v="2"/>
    <x v="715"/>
    <n v="162.30000000000001"/>
    <x v="59"/>
    <x v="62"/>
    <x v="2"/>
    <x v="4"/>
    <x v="0"/>
    <x v="0"/>
    <x v="21"/>
    <x v="1"/>
    <x v="8"/>
    <x v="2"/>
  </r>
  <r>
    <x v="1608"/>
    <x v="11"/>
    <x v="1"/>
    <x v="37"/>
    <n v="78"/>
    <x v="59"/>
    <x v="57"/>
    <x v="1"/>
    <x v="1"/>
    <x v="2"/>
    <x v="0"/>
    <x v="1"/>
    <x v="3"/>
    <x v="8"/>
    <x v="1"/>
  </r>
  <r>
    <x v="1609"/>
    <x v="8"/>
    <x v="1"/>
    <x v="7"/>
    <n v="80.599999999999994"/>
    <x v="59"/>
    <x v="62"/>
    <x v="1"/>
    <x v="3"/>
    <x v="0"/>
    <x v="0"/>
    <x v="27"/>
    <x v="1"/>
    <x v="8"/>
    <x v="1"/>
  </r>
  <r>
    <x v="1610"/>
    <x v="8"/>
    <x v="2"/>
    <x v="661"/>
    <n v="72.300000000000011"/>
    <x v="59"/>
    <x v="57"/>
    <x v="1"/>
    <x v="0"/>
    <x v="2"/>
    <x v="0"/>
    <x v="34"/>
    <x v="3"/>
    <x v="8"/>
    <x v="1"/>
  </r>
  <r>
    <x v="1611"/>
    <x v="6"/>
    <x v="9"/>
    <x v="574"/>
    <n v="261.5"/>
    <x v="59"/>
    <x v="57"/>
    <x v="1"/>
    <x v="2"/>
    <x v="0"/>
    <x v="0"/>
    <x v="3"/>
    <x v="3"/>
    <x v="8"/>
    <x v="1"/>
  </r>
  <r>
    <x v="1612"/>
    <x v="12"/>
    <x v="12"/>
    <x v="794"/>
    <n v="275.2"/>
    <x v="59"/>
    <x v="63"/>
    <x v="2"/>
    <x v="4"/>
    <x v="2"/>
    <x v="0"/>
    <x v="3"/>
    <x v="5"/>
    <x v="8"/>
    <x v="2"/>
  </r>
  <r>
    <x v="1613"/>
    <x v="2"/>
    <x v="1"/>
    <x v="795"/>
    <n v="257.60000000000002"/>
    <x v="60"/>
    <x v="63"/>
    <x v="2"/>
    <x v="1"/>
    <x v="1"/>
    <x v="0"/>
    <x v="3"/>
    <x v="2"/>
    <x v="9"/>
    <x v="2"/>
  </r>
  <r>
    <x v="1614"/>
    <x v="15"/>
    <x v="9"/>
    <x v="297"/>
    <n v="241"/>
    <x v="60"/>
    <x v="61"/>
    <x v="2"/>
    <x v="3"/>
    <x v="0"/>
    <x v="0"/>
    <x v="3"/>
    <x v="1"/>
    <x v="9"/>
    <x v="2"/>
  </r>
  <r>
    <x v="1615"/>
    <x v="10"/>
    <x v="0"/>
    <x v="138"/>
    <n v="39.700000000000003"/>
    <x v="60"/>
    <x v="61"/>
    <x v="2"/>
    <x v="0"/>
    <x v="1"/>
    <x v="0"/>
    <x v="3"/>
    <x v="1"/>
    <x v="9"/>
    <x v="2"/>
  </r>
  <r>
    <x v="1616"/>
    <x v="9"/>
    <x v="0"/>
    <x v="115"/>
    <n v="59.7"/>
    <x v="60"/>
    <x v="63"/>
    <x v="2"/>
    <x v="4"/>
    <x v="0"/>
    <x v="0"/>
    <x v="3"/>
    <x v="2"/>
    <x v="9"/>
    <x v="2"/>
  </r>
  <r>
    <x v="1617"/>
    <x v="6"/>
    <x v="0"/>
    <x v="591"/>
    <n v="48.3"/>
    <x v="60"/>
    <x v="69"/>
    <x v="3"/>
    <x v="0"/>
    <x v="2"/>
    <x v="0"/>
    <x v="3"/>
    <x v="12"/>
    <x v="9"/>
    <x v="3"/>
  </r>
  <r>
    <x v="1618"/>
    <x v="8"/>
    <x v="2"/>
    <x v="600"/>
    <n v="136.5"/>
    <x v="60"/>
    <x v="61"/>
    <x v="1"/>
    <x v="2"/>
    <x v="1"/>
    <x v="0"/>
    <x v="3"/>
    <x v="1"/>
    <x v="9"/>
    <x v="1"/>
  </r>
  <r>
    <x v="1619"/>
    <x v="9"/>
    <x v="6"/>
    <x v="707"/>
    <n v="1377"/>
    <x v="60"/>
    <x v="57"/>
    <x v="2"/>
    <x v="2"/>
    <x v="0"/>
    <x v="0"/>
    <x v="3"/>
    <x v="7"/>
    <x v="9"/>
    <x v="2"/>
  </r>
  <r>
    <x v="1620"/>
    <x v="4"/>
    <x v="13"/>
    <x v="293"/>
    <n v="122.39999999999999"/>
    <x v="60"/>
    <x v="62"/>
    <x v="1"/>
    <x v="2"/>
    <x v="0"/>
    <x v="0"/>
    <x v="3"/>
    <x v="3"/>
    <x v="9"/>
    <x v="1"/>
  </r>
  <r>
    <x v="1621"/>
    <x v="10"/>
    <x v="1"/>
    <x v="248"/>
    <n v="60.8"/>
    <x v="60"/>
    <x v="61"/>
    <x v="1"/>
    <x v="2"/>
    <x v="0"/>
    <x v="0"/>
    <x v="3"/>
    <x v="1"/>
    <x v="9"/>
    <x v="1"/>
  </r>
  <r>
    <x v="1622"/>
    <x v="7"/>
    <x v="1"/>
    <x v="674"/>
    <n v="143"/>
    <x v="60"/>
    <x v="66"/>
    <x v="2"/>
    <x v="0"/>
    <x v="0"/>
    <x v="0"/>
    <x v="3"/>
    <x v="5"/>
    <x v="9"/>
    <x v="2"/>
  </r>
  <r>
    <x v="1623"/>
    <x v="8"/>
    <x v="13"/>
    <x v="53"/>
    <n v="108"/>
    <x v="60"/>
    <x v="62"/>
    <x v="3"/>
    <x v="1"/>
    <x v="2"/>
    <x v="0"/>
    <x v="6"/>
    <x v="3"/>
    <x v="9"/>
    <x v="3"/>
  </r>
  <r>
    <x v="1624"/>
    <x v="15"/>
    <x v="5"/>
    <x v="357"/>
    <n v="501.6"/>
    <x v="60"/>
    <x v="62"/>
    <x v="3"/>
    <x v="1"/>
    <x v="1"/>
    <x v="0"/>
    <x v="7"/>
    <x v="3"/>
    <x v="9"/>
    <x v="3"/>
  </r>
  <r>
    <x v="1625"/>
    <x v="9"/>
    <x v="0"/>
    <x v="216"/>
    <n v="31.8"/>
    <x v="60"/>
    <x v="66"/>
    <x v="2"/>
    <x v="0"/>
    <x v="2"/>
    <x v="0"/>
    <x v="7"/>
    <x v="5"/>
    <x v="9"/>
    <x v="2"/>
  </r>
  <r>
    <x v="1626"/>
    <x v="8"/>
    <x v="9"/>
    <x v="157"/>
    <n v="99.5"/>
    <x v="60"/>
    <x v="62"/>
    <x v="2"/>
    <x v="1"/>
    <x v="0"/>
    <x v="0"/>
    <x v="7"/>
    <x v="3"/>
    <x v="9"/>
    <x v="2"/>
  </r>
  <r>
    <x v="1627"/>
    <x v="12"/>
    <x v="11"/>
    <x v="184"/>
    <n v="468.90000000000003"/>
    <x v="60"/>
    <x v="61"/>
    <x v="1"/>
    <x v="0"/>
    <x v="0"/>
    <x v="0"/>
    <x v="8"/>
    <x v="1"/>
    <x v="9"/>
    <x v="1"/>
  </r>
  <r>
    <x v="1628"/>
    <x v="1"/>
    <x v="3"/>
    <x v="206"/>
    <n v="321.3"/>
    <x v="60"/>
    <x v="62"/>
    <x v="1"/>
    <x v="0"/>
    <x v="1"/>
    <x v="0"/>
    <x v="8"/>
    <x v="3"/>
    <x v="9"/>
    <x v="1"/>
  </r>
  <r>
    <x v="1629"/>
    <x v="1"/>
    <x v="7"/>
    <x v="796"/>
    <n v="1159"/>
    <x v="60"/>
    <x v="63"/>
    <x v="2"/>
    <x v="1"/>
    <x v="0"/>
    <x v="0"/>
    <x v="8"/>
    <x v="2"/>
    <x v="9"/>
    <x v="2"/>
  </r>
  <r>
    <x v="1630"/>
    <x v="6"/>
    <x v="11"/>
    <x v="797"/>
    <n v="774"/>
    <x v="60"/>
    <x v="68"/>
    <x v="2"/>
    <x v="0"/>
    <x v="1"/>
    <x v="0"/>
    <x v="8"/>
    <x v="0"/>
    <x v="9"/>
    <x v="2"/>
  </r>
  <r>
    <x v="1631"/>
    <x v="7"/>
    <x v="3"/>
    <x v="508"/>
    <n v="515.19999999999993"/>
    <x v="60"/>
    <x v="61"/>
    <x v="2"/>
    <x v="0"/>
    <x v="0"/>
    <x v="0"/>
    <x v="17"/>
    <x v="1"/>
    <x v="9"/>
    <x v="2"/>
  </r>
  <r>
    <x v="1632"/>
    <x v="10"/>
    <x v="2"/>
    <x v="494"/>
    <n v="80.099999999999994"/>
    <x v="60"/>
    <x v="66"/>
    <x v="2"/>
    <x v="0"/>
    <x v="0"/>
    <x v="0"/>
    <x v="11"/>
    <x v="5"/>
    <x v="9"/>
    <x v="2"/>
  </r>
  <r>
    <x v="1633"/>
    <x v="8"/>
    <x v="3"/>
    <x v="594"/>
    <n v="326.2"/>
    <x v="60"/>
    <x v="61"/>
    <x v="0"/>
    <x v="3"/>
    <x v="0"/>
    <x v="0"/>
    <x v="11"/>
    <x v="1"/>
    <x v="9"/>
    <x v="0"/>
  </r>
  <r>
    <x v="1634"/>
    <x v="3"/>
    <x v="2"/>
    <x v="798"/>
    <n v="253.79999999999998"/>
    <x v="60"/>
    <x v="61"/>
    <x v="1"/>
    <x v="4"/>
    <x v="0"/>
    <x v="0"/>
    <x v="11"/>
    <x v="1"/>
    <x v="9"/>
    <x v="1"/>
  </r>
  <r>
    <x v="1635"/>
    <x v="7"/>
    <x v="21"/>
    <x v="329"/>
    <n v="581"/>
    <x v="60"/>
    <x v="69"/>
    <x v="1"/>
    <x v="1"/>
    <x v="0"/>
    <x v="0"/>
    <x v="53"/>
    <x v="12"/>
    <x v="9"/>
    <x v="1"/>
  </r>
  <r>
    <x v="1636"/>
    <x v="8"/>
    <x v="0"/>
    <x v="413"/>
    <n v="32.799999999999997"/>
    <x v="60"/>
    <x v="63"/>
    <x v="1"/>
    <x v="0"/>
    <x v="2"/>
    <x v="0"/>
    <x v="30"/>
    <x v="2"/>
    <x v="9"/>
    <x v="1"/>
  </r>
  <r>
    <x v="1637"/>
    <x v="4"/>
    <x v="3"/>
    <x v="21"/>
    <n v="326.90000000000003"/>
    <x v="60"/>
    <x v="61"/>
    <x v="3"/>
    <x v="0"/>
    <x v="2"/>
    <x v="0"/>
    <x v="18"/>
    <x v="1"/>
    <x v="9"/>
    <x v="3"/>
  </r>
  <r>
    <x v="1638"/>
    <x v="15"/>
    <x v="3"/>
    <x v="65"/>
    <n v="147"/>
    <x v="60"/>
    <x v="63"/>
    <x v="1"/>
    <x v="2"/>
    <x v="1"/>
    <x v="0"/>
    <x v="21"/>
    <x v="2"/>
    <x v="9"/>
    <x v="1"/>
  </r>
  <r>
    <x v="1639"/>
    <x v="5"/>
    <x v="3"/>
    <x v="647"/>
    <n v="205.79999999999998"/>
    <x v="60"/>
    <x v="57"/>
    <x v="1"/>
    <x v="3"/>
    <x v="2"/>
    <x v="0"/>
    <x v="21"/>
    <x v="7"/>
    <x v="9"/>
    <x v="1"/>
  </r>
  <r>
    <x v="1640"/>
    <x v="15"/>
    <x v="1"/>
    <x v="240"/>
    <n v="64.599999999999994"/>
    <x v="60"/>
    <x v="62"/>
    <x v="1"/>
    <x v="0"/>
    <x v="2"/>
    <x v="0"/>
    <x v="21"/>
    <x v="3"/>
    <x v="9"/>
    <x v="1"/>
  </r>
  <r>
    <x v="1641"/>
    <x v="6"/>
    <x v="0"/>
    <x v="567"/>
    <n v="42.2"/>
    <x v="61"/>
    <x v="63"/>
    <x v="2"/>
    <x v="0"/>
    <x v="2"/>
    <x v="0"/>
    <x v="21"/>
    <x v="1"/>
    <x v="9"/>
    <x v="2"/>
  </r>
  <r>
    <x v="1642"/>
    <x v="6"/>
    <x v="0"/>
    <x v="526"/>
    <n v="53.7"/>
    <x v="61"/>
    <x v="63"/>
    <x v="1"/>
    <x v="1"/>
    <x v="1"/>
    <x v="0"/>
    <x v="1"/>
    <x v="1"/>
    <x v="9"/>
    <x v="1"/>
  </r>
  <r>
    <x v="1643"/>
    <x v="2"/>
    <x v="1"/>
    <x v="799"/>
    <n v="247.8"/>
    <x v="61"/>
    <x v="66"/>
    <x v="1"/>
    <x v="2"/>
    <x v="0"/>
    <x v="0"/>
    <x v="1"/>
    <x v="2"/>
    <x v="9"/>
    <x v="1"/>
  </r>
  <r>
    <x v="1644"/>
    <x v="4"/>
    <x v="2"/>
    <x v="275"/>
    <n v="107.69999999999999"/>
    <x v="61"/>
    <x v="63"/>
    <x v="1"/>
    <x v="2"/>
    <x v="0"/>
    <x v="0"/>
    <x v="22"/>
    <x v="1"/>
    <x v="9"/>
    <x v="1"/>
  </r>
  <r>
    <x v="1645"/>
    <x v="4"/>
    <x v="1"/>
    <x v="174"/>
    <n v="47.2"/>
    <x v="61"/>
    <x v="66"/>
    <x v="1"/>
    <x v="0"/>
    <x v="2"/>
    <x v="0"/>
    <x v="3"/>
    <x v="2"/>
    <x v="9"/>
    <x v="1"/>
  </r>
  <r>
    <x v="1646"/>
    <x v="15"/>
    <x v="36"/>
    <x v="108"/>
    <n v="1599.5"/>
    <x v="61"/>
    <x v="61"/>
    <x v="1"/>
    <x v="0"/>
    <x v="1"/>
    <x v="0"/>
    <x v="3"/>
    <x v="3"/>
    <x v="9"/>
    <x v="1"/>
  </r>
  <r>
    <x v="1647"/>
    <x v="6"/>
    <x v="5"/>
    <x v="800"/>
    <n v="1301.3"/>
    <x v="61"/>
    <x v="63"/>
    <x v="1"/>
    <x v="4"/>
    <x v="2"/>
    <x v="0"/>
    <x v="3"/>
    <x v="1"/>
    <x v="9"/>
    <x v="1"/>
  </r>
  <r>
    <x v="1648"/>
    <x v="19"/>
    <x v="0"/>
    <x v="307"/>
    <n v="36"/>
    <x v="61"/>
    <x v="61"/>
    <x v="2"/>
    <x v="0"/>
    <x v="1"/>
    <x v="0"/>
    <x v="3"/>
    <x v="3"/>
    <x v="9"/>
    <x v="2"/>
  </r>
  <r>
    <x v="1649"/>
    <x v="8"/>
    <x v="1"/>
    <x v="719"/>
    <n v="74.2"/>
    <x v="61"/>
    <x v="66"/>
    <x v="2"/>
    <x v="2"/>
    <x v="0"/>
    <x v="0"/>
    <x v="3"/>
    <x v="2"/>
    <x v="9"/>
    <x v="2"/>
  </r>
  <r>
    <x v="1650"/>
    <x v="18"/>
    <x v="2"/>
    <x v="226"/>
    <n v="135.30000000000001"/>
    <x v="61"/>
    <x v="63"/>
    <x v="2"/>
    <x v="1"/>
    <x v="2"/>
    <x v="0"/>
    <x v="3"/>
    <x v="1"/>
    <x v="9"/>
    <x v="2"/>
  </r>
  <r>
    <x v="1651"/>
    <x v="5"/>
    <x v="27"/>
    <x v="430"/>
    <n v="606.4"/>
    <x v="61"/>
    <x v="61"/>
    <x v="2"/>
    <x v="3"/>
    <x v="2"/>
    <x v="0"/>
    <x v="3"/>
    <x v="3"/>
    <x v="9"/>
    <x v="2"/>
  </r>
  <r>
    <x v="1652"/>
    <x v="2"/>
    <x v="1"/>
    <x v="801"/>
    <n v="243.2"/>
    <x v="61"/>
    <x v="66"/>
    <x v="1"/>
    <x v="3"/>
    <x v="2"/>
    <x v="0"/>
    <x v="3"/>
    <x v="2"/>
    <x v="9"/>
    <x v="1"/>
  </r>
  <r>
    <x v="1653"/>
    <x v="5"/>
    <x v="3"/>
    <x v="751"/>
    <n v="267.40000000000003"/>
    <x v="61"/>
    <x v="66"/>
    <x v="2"/>
    <x v="0"/>
    <x v="0"/>
    <x v="0"/>
    <x v="3"/>
    <x v="2"/>
    <x v="9"/>
    <x v="2"/>
  </r>
  <r>
    <x v="1654"/>
    <x v="17"/>
    <x v="1"/>
    <x v="790"/>
    <n v="74.400000000000006"/>
    <x v="61"/>
    <x v="66"/>
    <x v="1"/>
    <x v="4"/>
    <x v="0"/>
    <x v="0"/>
    <x v="3"/>
    <x v="2"/>
    <x v="9"/>
    <x v="1"/>
  </r>
  <r>
    <x v="1655"/>
    <x v="2"/>
    <x v="12"/>
    <x v="802"/>
    <n v="462.8"/>
    <x v="61"/>
    <x v="66"/>
    <x v="2"/>
    <x v="1"/>
    <x v="0"/>
    <x v="0"/>
    <x v="3"/>
    <x v="2"/>
    <x v="9"/>
    <x v="2"/>
  </r>
  <r>
    <x v="1656"/>
    <x v="2"/>
    <x v="13"/>
    <x v="539"/>
    <n v="596.40000000000009"/>
    <x v="61"/>
    <x v="66"/>
    <x v="1"/>
    <x v="0"/>
    <x v="2"/>
    <x v="0"/>
    <x v="3"/>
    <x v="2"/>
    <x v="9"/>
    <x v="1"/>
  </r>
  <r>
    <x v="1657"/>
    <x v="11"/>
    <x v="0"/>
    <x v="26"/>
    <n v="38.700000000000003"/>
    <x v="61"/>
    <x v="61"/>
    <x v="2"/>
    <x v="2"/>
    <x v="0"/>
    <x v="0"/>
    <x v="25"/>
    <x v="3"/>
    <x v="9"/>
    <x v="2"/>
  </r>
  <r>
    <x v="1658"/>
    <x v="4"/>
    <x v="1"/>
    <x v="803"/>
    <n v="71"/>
    <x v="61"/>
    <x v="66"/>
    <x v="1"/>
    <x v="0"/>
    <x v="2"/>
    <x v="0"/>
    <x v="25"/>
    <x v="2"/>
    <x v="9"/>
    <x v="1"/>
  </r>
  <r>
    <x v="1659"/>
    <x v="2"/>
    <x v="12"/>
    <x v="283"/>
    <n v="373.2"/>
    <x v="61"/>
    <x v="66"/>
    <x v="2"/>
    <x v="0"/>
    <x v="2"/>
    <x v="0"/>
    <x v="6"/>
    <x v="2"/>
    <x v="9"/>
    <x v="2"/>
  </r>
  <r>
    <x v="1660"/>
    <x v="16"/>
    <x v="0"/>
    <x v="541"/>
    <n v="31.4"/>
    <x v="61"/>
    <x v="70"/>
    <x v="2"/>
    <x v="2"/>
    <x v="2"/>
    <x v="0"/>
    <x v="6"/>
    <x v="0"/>
    <x v="9"/>
    <x v="2"/>
  </r>
  <r>
    <x v="1661"/>
    <x v="1"/>
    <x v="0"/>
    <x v="804"/>
    <n v="85.9"/>
    <x v="61"/>
    <x v="66"/>
    <x v="1"/>
    <x v="1"/>
    <x v="0"/>
    <x v="0"/>
    <x v="6"/>
    <x v="2"/>
    <x v="9"/>
    <x v="1"/>
  </r>
  <r>
    <x v="1662"/>
    <x v="6"/>
    <x v="8"/>
    <x v="52"/>
    <n v="333.6"/>
    <x v="61"/>
    <x v="71"/>
    <x v="1"/>
    <x v="0"/>
    <x v="2"/>
    <x v="0"/>
    <x v="7"/>
    <x v="9"/>
    <x v="9"/>
    <x v="1"/>
  </r>
  <r>
    <x v="1663"/>
    <x v="8"/>
    <x v="12"/>
    <x v="217"/>
    <n v="126"/>
    <x v="61"/>
    <x v="61"/>
    <x v="2"/>
    <x v="0"/>
    <x v="0"/>
    <x v="0"/>
    <x v="7"/>
    <x v="3"/>
    <x v="9"/>
    <x v="2"/>
  </r>
  <r>
    <x v="1664"/>
    <x v="8"/>
    <x v="1"/>
    <x v="791"/>
    <n v="72.599999999999994"/>
    <x v="61"/>
    <x v="61"/>
    <x v="2"/>
    <x v="0"/>
    <x v="4"/>
    <x v="0"/>
    <x v="8"/>
    <x v="3"/>
    <x v="9"/>
    <x v="2"/>
  </r>
  <r>
    <x v="1665"/>
    <x v="8"/>
    <x v="2"/>
    <x v="172"/>
    <n v="100.19999999999999"/>
    <x v="61"/>
    <x v="61"/>
    <x v="2"/>
    <x v="3"/>
    <x v="0"/>
    <x v="0"/>
    <x v="17"/>
    <x v="3"/>
    <x v="9"/>
    <x v="2"/>
  </r>
  <r>
    <x v="1666"/>
    <x v="2"/>
    <x v="2"/>
    <x v="203"/>
    <n v="195.60000000000002"/>
    <x v="61"/>
    <x v="61"/>
    <x v="2"/>
    <x v="2"/>
    <x v="2"/>
    <x v="0"/>
    <x v="26"/>
    <x v="3"/>
    <x v="9"/>
    <x v="2"/>
  </r>
  <r>
    <x v="1667"/>
    <x v="8"/>
    <x v="11"/>
    <x v="313"/>
    <n v="589.5"/>
    <x v="61"/>
    <x v="66"/>
    <x v="2"/>
    <x v="0"/>
    <x v="2"/>
    <x v="0"/>
    <x v="9"/>
    <x v="2"/>
    <x v="9"/>
    <x v="2"/>
  </r>
  <r>
    <x v="1668"/>
    <x v="6"/>
    <x v="2"/>
    <x v="434"/>
    <n v="158.39999999999998"/>
    <x v="61"/>
    <x v="66"/>
    <x v="1"/>
    <x v="2"/>
    <x v="0"/>
    <x v="0"/>
    <x v="9"/>
    <x v="2"/>
    <x v="9"/>
    <x v="1"/>
  </r>
  <r>
    <x v="1669"/>
    <x v="9"/>
    <x v="9"/>
    <x v="209"/>
    <n v="120"/>
    <x v="61"/>
    <x v="68"/>
    <x v="1"/>
    <x v="0"/>
    <x v="1"/>
    <x v="0"/>
    <x v="11"/>
    <x v="5"/>
    <x v="9"/>
    <x v="1"/>
  </r>
  <r>
    <x v="1670"/>
    <x v="3"/>
    <x v="2"/>
    <x v="440"/>
    <n v="153.60000000000002"/>
    <x v="61"/>
    <x v="61"/>
    <x v="2"/>
    <x v="0"/>
    <x v="0"/>
    <x v="0"/>
    <x v="32"/>
    <x v="3"/>
    <x v="9"/>
    <x v="2"/>
  </r>
  <r>
    <x v="1671"/>
    <x v="5"/>
    <x v="2"/>
    <x v="805"/>
    <n v="84.9"/>
    <x v="61"/>
    <x v="63"/>
    <x v="1"/>
    <x v="4"/>
    <x v="0"/>
    <x v="0"/>
    <x v="19"/>
    <x v="1"/>
    <x v="9"/>
    <x v="1"/>
  </r>
  <r>
    <x v="1672"/>
    <x v="6"/>
    <x v="2"/>
    <x v="318"/>
    <n v="126.89999999999999"/>
    <x v="61"/>
    <x v="62"/>
    <x v="2"/>
    <x v="2"/>
    <x v="1"/>
    <x v="0"/>
    <x v="19"/>
    <x v="7"/>
    <x v="9"/>
    <x v="2"/>
  </r>
  <r>
    <x v="1673"/>
    <x v="2"/>
    <x v="8"/>
    <x v="806"/>
    <n v="1306.4000000000001"/>
    <x v="62"/>
    <x v="63"/>
    <x v="2"/>
    <x v="1"/>
    <x v="0"/>
    <x v="0"/>
    <x v="13"/>
    <x v="3"/>
    <x v="9"/>
    <x v="2"/>
  </r>
  <r>
    <x v="1674"/>
    <x v="6"/>
    <x v="3"/>
    <x v="219"/>
    <n v="331.09999999999997"/>
    <x v="62"/>
    <x v="68"/>
    <x v="2"/>
    <x v="4"/>
    <x v="1"/>
    <x v="0"/>
    <x v="21"/>
    <x v="2"/>
    <x v="9"/>
    <x v="2"/>
  </r>
  <r>
    <x v="1675"/>
    <x v="8"/>
    <x v="27"/>
    <x v="807"/>
    <n v="436.8"/>
    <x v="62"/>
    <x v="63"/>
    <x v="2"/>
    <x v="2"/>
    <x v="0"/>
    <x v="0"/>
    <x v="21"/>
    <x v="3"/>
    <x v="9"/>
    <x v="2"/>
  </r>
  <r>
    <x v="1676"/>
    <x v="10"/>
    <x v="13"/>
    <x v="271"/>
    <n v="209.39999999999998"/>
    <x v="62"/>
    <x v="72"/>
    <x v="2"/>
    <x v="0"/>
    <x v="0"/>
    <x v="0"/>
    <x v="21"/>
    <x v="11"/>
    <x v="9"/>
    <x v="2"/>
  </r>
  <r>
    <x v="1677"/>
    <x v="6"/>
    <x v="1"/>
    <x v="190"/>
    <n v="107.8"/>
    <x v="62"/>
    <x v="68"/>
    <x v="3"/>
    <x v="0"/>
    <x v="4"/>
    <x v="0"/>
    <x v="1"/>
    <x v="2"/>
    <x v="9"/>
    <x v="3"/>
  </r>
  <r>
    <x v="1678"/>
    <x v="2"/>
    <x v="1"/>
    <x v="808"/>
    <n v="174.4"/>
    <x v="62"/>
    <x v="63"/>
    <x v="2"/>
    <x v="0"/>
    <x v="1"/>
    <x v="0"/>
    <x v="1"/>
    <x v="3"/>
    <x v="9"/>
    <x v="2"/>
  </r>
  <r>
    <x v="1679"/>
    <x v="15"/>
    <x v="0"/>
    <x v="466"/>
    <n v="58.8"/>
    <x v="62"/>
    <x v="66"/>
    <x v="2"/>
    <x v="2"/>
    <x v="0"/>
    <x v="0"/>
    <x v="44"/>
    <x v="1"/>
    <x v="9"/>
    <x v="2"/>
  </r>
  <r>
    <x v="1680"/>
    <x v="2"/>
    <x v="3"/>
    <x v="809"/>
    <n v="878.5"/>
    <x v="62"/>
    <x v="63"/>
    <x v="1"/>
    <x v="2"/>
    <x v="4"/>
    <x v="0"/>
    <x v="22"/>
    <x v="3"/>
    <x v="9"/>
    <x v="1"/>
  </r>
  <r>
    <x v="1681"/>
    <x v="1"/>
    <x v="12"/>
    <x v="810"/>
    <n v="498.4"/>
    <x v="62"/>
    <x v="66"/>
    <x v="2"/>
    <x v="0"/>
    <x v="1"/>
    <x v="0"/>
    <x v="22"/>
    <x v="1"/>
    <x v="9"/>
    <x v="2"/>
  </r>
  <r>
    <x v="1682"/>
    <x v="1"/>
    <x v="3"/>
    <x v="811"/>
    <n v="279.3"/>
    <x v="62"/>
    <x v="63"/>
    <x v="1"/>
    <x v="2"/>
    <x v="1"/>
    <x v="0"/>
    <x v="3"/>
    <x v="3"/>
    <x v="9"/>
    <x v="1"/>
  </r>
  <r>
    <x v="1683"/>
    <x v="6"/>
    <x v="0"/>
    <x v="477"/>
    <n v="94.6"/>
    <x v="62"/>
    <x v="73"/>
    <x v="2"/>
    <x v="0"/>
    <x v="1"/>
    <x v="0"/>
    <x v="3"/>
    <x v="12"/>
    <x v="9"/>
    <x v="2"/>
  </r>
  <r>
    <x v="1684"/>
    <x v="2"/>
    <x v="1"/>
    <x v="662"/>
    <n v="299.2"/>
    <x v="62"/>
    <x v="63"/>
    <x v="2"/>
    <x v="0"/>
    <x v="0"/>
    <x v="0"/>
    <x v="3"/>
    <x v="3"/>
    <x v="9"/>
    <x v="2"/>
  </r>
  <r>
    <x v="1685"/>
    <x v="8"/>
    <x v="0"/>
    <x v="793"/>
    <n v="52.2"/>
    <x v="62"/>
    <x v="63"/>
    <x v="0"/>
    <x v="1"/>
    <x v="0"/>
    <x v="0"/>
    <x v="3"/>
    <x v="3"/>
    <x v="9"/>
    <x v="0"/>
  </r>
  <r>
    <x v="1686"/>
    <x v="6"/>
    <x v="1"/>
    <x v="812"/>
    <n v="193"/>
    <x v="62"/>
    <x v="63"/>
    <x v="2"/>
    <x v="1"/>
    <x v="1"/>
    <x v="0"/>
    <x v="3"/>
    <x v="3"/>
    <x v="9"/>
    <x v="2"/>
  </r>
  <r>
    <x v="1687"/>
    <x v="8"/>
    <x v="1"/>
    <x v="304"/>
    <n v="159.6"/>
    <x v="62"/>
    <x v="66"/>
    <x v="2"/>
    <x v="0"/>
    <x v="1"/>
    <x v="0"/>
    <x v="3"/>
    <x v="1"/>
    <x v="9"/>
    <x v="2"/>
  </r>
  <r>
    <x v="1688"/>
    <x v="8"/>
    <x v="2"/>
    <x v="533"/>
    <n v="106.80000000000001"/>
    <x v="62"/>
    <x v="63"/>
    <x v="2"/>
    <x v="2"/>
    <x v="0"/>
    <x v="0"/>
    <x v="3"/>
    <x v="3"/>
    <x v="9"/>
    <x v="2"/>
  </r>
  <r>
    <x v="1689"/>
    <x v="16"/>
    <x v="0"/>
    <x v="534"/>
    <n v="50.2"/>
    <x v="62"/>
    <x v="63"/>
    <x v="2"/>
    <x v="1"/>
    <x v="2"/>
    <x v="0"/>
    <x v="3"/>
    <x v="3"/>
    <x v="9"/>
    <x v="2"/>
  </r>
  <r>
    <x v="1690"/>
    <x v="1"/>
    <x v="2"/>
    <x v="6"/>
    <n v="165.89999999999998"/>
    <x v="62"/>
    <x v="68"/>
    <x v="2"/>
    <x v="0"/>
    <x v="4"/>
    <x v="0"/>
    <x v="40"/>
    <x v="2"/>
    <x v="9"/>
    <x v="2"/>
  </r>
  <r>
    <x v="1691"/>
    <x v="6"/>
    <x v="3"/>
    <x v="617"/>
    <n v="731.5"/>
    <x v="62"/>
    <x v="70"/>
    <x v="2"/>
    <x v="1"/>
    <x v="0"/>
    <x v="0"/>
    <x v="7"/>
    <x v="5"/>
    <x v="9"/>
    <x v="2"/>
  </r>
  <r>
    <x v="1692"/>
    <x v="6"/>
    <x v="12"/>
    <x v="563"/>
    <n v="266"/>
    <x v="62"/>
    <x v="66"/>
    <x v="1"/>
    <x v="1"/>
    <x v="0"/>
    <x v="0"/>
    <x v="7"/>
    <x v="1"/>
    <x v="9"/>
    <x v="1"/>
  </r>
  <r>
    <x v="1693"/>
    <x v="10"/>
    <x v="8"/>
    <x v="629"/>
    <n v="306.39999999999998"/>
    <x v="62"/>
    <x v="63"/>
    <x v="2"/>
    <x v="0"/>
    <x v="0"/>
    <x v="0"/>
    <x v="7"/>
    <x v="3"/>
    <x v="9"/>
    <x v="2"/>
  </r>
  <r>
    <x v="1694"/>
    <x v="6"/>
    <x v="2"/>
    <x v="259"/>
    <n v="191.39999999999998"/>
    <x v="62"/>
    <x v="68"/>
    <x v="2"/>
    <x v="1"/>
    <x v="0"/>
    <x v="0"/>
    <x v="8"/>
    <x v="2"/>
    <x v="9"/>
    <x v="2"/>
  </r>
  <r>
    <x v="1695"/>
    <x v="15"/>
    <x v="0"/>
    <x v="302"/>
    <n v="21.4"/>
    <x v="62"/>
    <x v="61"/>
    <x v="1"/>
    <x v="4"/>
    <x v="0"/>
    <x v="0"/>
    <x v="8"/>
    <x v="7"/>
    <x v="9"/>
    <x v="1"/>
  </r>
  <r>
    <x v="1696"/>
    <x v="8"/>
    <x v="12"/>
    <x v="369"/>
    <n v="176.4"/>
    <x v="62"/>
    <x v="66"/>
    <x v="2"/>
    <x v="2"/>
    <x v="0"/>
    <x v="0"/>
    <x v="8"/>
    <x v="1"/>
    <x v="9"/>
    <x v="2"/>
  </r>
  <r>
    <x v="1697"/>
    <x v="5"/>
    <x v="8"/>
    <x v="222"/>
    <n v="460.8"/>
    <x v="62"/>
    <x v="66"/>
    <x v="1"/>
    <x v="1"/>
    <x v="2"/>
    <x v="0"/>
    <x v="8"/>
    <x v="1"/>
    <x v="9"/>
    <x v="1"/>
  </r>
  <r>
    <x v="1698"/>
    <x v="9"/>
    <x v="1"/>
    <x v="127"/>
    <n v="40.6"/>
    <x v="62"/>
    <x v="65"/>
    <x v="2"/>
    <x v="3"/>
    <x v="0"/>
    <x v="0"/>
    <x v="8"/>
    <x v="4"/>
    <x v="9"/>
    <x v="2"/>
  </r>
  <r>
    <x v="1699"/>
    <x v="8"/>
    <x v="0"/>
    <x v="409"/>
    <n v="22.9"/>
    <x v="62"/>
    <x v="66"/>
    <x v="2"/>
    <x v="2"/>
    <x v="2"/>
    <x v="0"/>
    <x v="8"/>
    <x v="1"/>
    <x v="9"/>
    <x v="2"/>
  </r>
  <r>
    <x v="1700"/>
    <x v="6"/>
    <x v="12"/>
    <x v="250"/>
    <n v="423.6"/>
    <x v="62"/>
    <x v="63"/>
    <x v="2"/>
    <x v="1"/>
    <x v="2"/>
    <x v="0"/>
    <x v="17"/>
    <x v="3"/>
    <x v="9"/>
    <x v="2"/>
  </r>
  <r>
    <x v="1701"/>
    <x v="1"/>
    <x v="11"/>
    <x v="484"/>
    <n v="336.59999999999997"/>
    <x v="62"/>
    <x v="70"/>
    <x v="1"/>
    <x v="1"/>
    <x v="0"/>
    <x v="0"/>
    <x v="11"/>
    <x v="5"/>
    <x v="9"/>
    <x v="1"/>
  </r>
  <r>
    <x v="1702"/>
    <x v="18"/>
    <x v="1"/>
    <x v="561"/>
    <n v="158"/>
    <x v="62"/>
    <x v="63"/>
    <x v="1"/>
    <x v="2"/>
    <x v="0"/>
    <x v="0"/>
    <x v="28"/>
    <x v="3"/>
    <x v="9"/>
    <x v="1"/>
  </r>
  <r>
    <x v="1703"/>
    <x v="0"/>
    <x v="2"/>
    <x v="55"/>
    <n v="57.900000000000006"/>
    <x v="62"/>
    <x v="63"/>
    <x v="2"/>
    <x v="4"/>
    <x v="0"/>
    <x v="0"/>
    <x v="21"/>
    <x v="3"/>
    <x v="9"/>
    <x v="2"/>
  </r>
  <r>
    <x v="1704"/>
    <x v="0"/>
    <x v="0"/>
    <x v="209"/>
    <n v="24"/>
    <x v="62"/>
    <x v="63"/>
    <x v="2"/>
    <x v="1"/>
    <x v="0"/>
    <x v="0"/>
    <x v="1"/>
    <x v="3"/>
    <x v="9"/>
    <x v="2"/>
  </r>
  <r>
    <x v="1705"/>
    <x v="6"/>
    <x v="9"/>
    <x v="760"/>
    <n v="356.5"/>
    <x v="62"/>
    <x v="68"/>
    <x v="2"/>
    <x v="2"/>
    <x v="0"/>
    <x v="0"/>
    <x v="2"/>
    <x v="2"/>
    <x v="9"/>
    <x v="2"/>
  </r>
  <r>
    <x v="1706"/>
    <x v="5"/>
    <x v="1"/>
    <x v="621"/>
    <n v="332.4"/>
    <x v="62"/>
    <x v="63"/>
    <x v="1"/>
    <x v="0"/>
    <x v="2"/>
    <x v="0"/>
    <x v="50"/>
    <x v="3"/>
    <x v="9"/>
    <x v="1"/>
  </r>
  <r>
    <x v="1707"/>
    <x v="6"/>
    <x v="0"/>
    <x v="328"/>
    <n v="81"/>
    <x v="62"/>
    <x v="63"/>
    <x v="2"/>
    <x v="2"/>
    <x v="1"/>
    <x v="0"/>
    <x v="3"/>
    <x v="3"/>
    <x v="9"/>
    <x v="2"/>
  </r>
  <r>
    <x v="1708"/>
    <x v="10"/>
    <x v="13"/>
    <x v="153"/>
    <n v="231"/>
    <x v="62"/>
    <x v="70"/>
    <x v="2"/>
    <x v="0"/>
    <x v="0"/>
    <x v="0"/>
    <x v="3"/>
    <x v="5"/>
    <x v="9"/>
    <x v="2"/>
  </r>
  <r>
    <x v="1709"/>
    <x v="6"/>
    <x v="0"/>
    <x v="813"/>
    <n v="86.1"/>
    <x v="62"/>
    <x v="66"/>
    <x v="2"/>
    <x v="3"/>
    <x v="0"/>
    <x v="0"/>
    <x v="3"/>
    <x v="1"/>
    <x v="9"/>
    <x v="2"/>
  </r>
  <r>
    <x v="1710"/>
    <x v="2"/>
    <x v="9"/>
    <x v="707"/>
    <n v="255"/>
    <x v="62"/>
    <x v="63"/>
    <x v="1"/>
    <x v="0"/>
    <x v="1"/>
    <x v="0"/>
    <x v="3"/>
    <x v="3"/>
    <x v="9"/>
    <x v="1"/>
  </r>
  <r>
    <x v="1711"/>
    <x v="3"/>
    <x v="9"/>
    <x v="814"/>
    <n v="577"/>
    <x v="62"/>
    <x v="63"/>
    <x v="1"/>
    <x v="0"/>
    <x v="0"/>
    <x v="0"/>
    <x v="3"/>
    <x v="3"/>
    <x v="9"/>
    <x v="1"/>
  </r>
  <r>
    <x v="1712"/>
    <x v="6"/>
    <x v="12"/>
    <x v="815"/>
    <n v="706"/>
    <x v="62"/>
    <x v="63"/>
    <x v="2"/>
    <x v="2"/>
    <x v="2"/>
    <x v="0"/>
    <x v="3"/>
    <x v="3"/>
    <x v="9"/>
    <x v="2"/>
  </r>
  <r>
    <x v="1713"/>
    <x v="7"/>
    <x v="2"/>
    <x v="816"/>
    <n v="146.69999999999999"/>
    <x v="62"/>
    <x v="63"/>
    <x v="1"/>
    <x v="4"/>
    <x v="0"/>
    <x v="0"/>
    <x v="3"/>
    <x v="3"/>
    <x v="9"/>
    <x v="1"/>
  </r>
  <r>
    <x v="1714"/>
    <x v="8"/>
    <x v="2"/>
    <x v="606"/>
    <n v="54.300000000000004"/>
    <x v="62"/>
    <x v="71"/>
    <x v="2"/>
    <x v="1"/>
    <x v="2"/>
    <x v="0"/>
    <x v="29"/>
    <x v="6"/>
    <x v="9"/>
    <x v="2"/>
  </r>
  <r>
    <x v="1715"/>
    <x v="2"/>
    <x v="1"/>
    <x v="817"/>
    <n v="237"/>
    <x v="62"/>
    <x v="68"/>
    <x v="1"/>
    <x v="1"/>
    <x v="2"/>
    <x v="0"/>
    <x v="16"/>
    <x v="2"/>
    <x v="9"/>
    <x v="1"/>
  </r>
  <r>
    <x v="1716"/>
    <x v="15"/>
    <x v="3"/>
    <x v="523"/>
    <n v="413.7"/>
    <x v="62"/>
    <x v="63"/>
    <x v="2"/>
    <x v="3"/>
    <x v="0"/>
    <x v="0"/>
    <x v="25"/>
    <x v="3"/>
    <x v="9"/>
    <x v="2"/>
  </r>
  <r>
    <x v="1717"/>
    <x v="4"/>
    <x v="0"/>
    <x v="191"/>
    <n v="21.2"/>
    <x v="62"/>
    <x v="63"/>
    <x v="2"/>
    <x v="0"/>
    <x v="1"/>
    <x v="0"/>
    <x v="6"/>
    <x v="3"/>
    <x v="9"/>
    <x v="2"/>
  </r>
  <r>
    <x v="1718"/>
    <x v="6"/>
    <x v="1"/>
    <x v="794"/>
    <n v="137.6"/>
    <x v="62"/>
    <x v="60"/>
    <x v="2"/>
    <x v="3"/>
    <x v="2"/>
    <x v="0"/>
    <x v="6"/>
    <x v="0"/>
    <x v="9"/>
    <x v="2"/>
  </r>
  <r>
    <x v="1719"/>
    <x v="6"/>
    <x v="1"/>
    <x v="456"/>
    <n v="130.80000000000001"/>
    <x v="62"/>
    <x v="70"/>
    <x v="2"/>
    <x v="0"/>
    <x v="0"/>
    <x v="0"/>
    <x v="6"/>
    <x v="5"/>
    <x v="9"/>
    <x v="2"/>
  </r>
  <r>
    <x v="1720"/>
    <x v="12"/>
    <x v="9"/>
    <x v="730"/>
    <n v="331.5"/>
    <x v="63"/>
    <x v="70"/>
    <x v="2"/>
    <x v="4"/>
    <x v="0"/>
    <x v="0"/>
    <x v="6"/>
    <x v="2"/>
    <x v="9"/>
    <x v="2"/>
  </r>
  <r>
    <x v="1721"/>
    <x v="6"/>
    <x v="2"/>
    <x v="818"/>
    <n v="292.5"/>
    <x v="63"/>
    <x v="63"/>
    <x v="1"/>
    <x v="3"/>
    <x v="0"/>
    <x v="0"/>
    <x v="8"/>
    <x v="7"/>
    <x v="9"/>
    <x v="1"/>
  </r>
  <r>
    <x v="1722"/>
    <x v="1"/>
    <x v="1"/>
    <x v="548"/>
    <n v="88"/>
    <x v="63"/>
    <x v="70"/>
    <x v="2"/>
    <x v="1"/>
    <x v="2"/>
    <x v="0"/>
    <x v="8"/>
    <x v="2"/>
    <x v="9"/>
    <x v="2"/>
  </r>
  <r>
    <x v="1723"/>
    <x v="0"/>
    <x v="0"/>
    <x v="421"/>
    <n v="21.9"/>
    <x v="63"/>
    <x v="66"/>
    <x v="1"/>
    <x v="0"/>
    <x v="0"/>
    <x v="0"/>
    <x v="8"/>
    <x v="3"/>
    <x v="9"/>
    <x v="1"/>
  </r>
  <r>
    <x v="1724"/>
    <x v="4"/>
    <x v="3"/>
    <x v="332"/>
    <n v="150.5"/>
    <x v="63"/>
    <x v="68"/>
    <x v="2"/>
    <x v="1"/>
    <x v="2"/>
    <x v="0"/>
    <x v="9"/>
    <x v="1"/>
    <x v="9"/>
    <x v="2"/>
  </r>
  <r>
    <x v="1725"/>
    <x v="12"/>
    <x v="13"/>
    <x v="819"/>
    <n v="798"/>
    <x v="63"/>
    <x v="66"/>
    <x v="3"/>
    <x v="0"/>
    <x v="2"/>
    <x v="0"/>
    <x v="10"/>
    <x v="3"/>
    <x v="9"/>
    <x v="3"/>
  </r>
  <r>
    <x v="1726"/>
    <x v="8"/>
    <x v="1"/>
    <x v="672"/>
    <n v="95.4"/>
    <x v="63"/>
    <x v="60"/>
    <x v="1"/>
    <x v="0"/>
    <x v="2"/>
    <x v="0"/>
    <x v="10"/>
    <x v="5"/>
    <x v="9"/>
    <x v="1"/>
  </r>
  <r>
    <x v="1727"/>
    <x v="16"/>
    <x v="2"/>
    <x v="215"/>
    <n v="174.3"/>
    <x v="63"/>
    <x v="66"/>
    <x v="2"/>
    <x v="0"/>
    <x v="0"/>
    <x v="0"/>
    <x v="11"/>
    <x v="3"/>
    <x v="9"/>
    <x v="2"/>
  </r>
  <r>
    <x v="1728"/>
    <x v="12"/>
    <x v="12"/>
    <x v="450"/>
    <n v="266.39999999999998"/>
    <x v="63"/>
    <x v="66"/>
    <x v="0"/>
    <x v="0"/>
    <x v="0"/>
    <x v="0"/>
    <x v="11"/>
    <x v="3"/>
    <x v="9"/>
    <x v="0"/>
  </r>
  <r>
    <x v="1729"/>
    <x v="9"/>
    <x v="0"/>
    <x v="661"/>
    <n v="24.1"/>
    <x v="63"/>
    <x v="70"/>
    <x v="1"/>
    <x v="2"/>
    <x v="1"/>
    <x v="0"/>
    <x v="19"/>
    <x v="2"/>
    <x v="9"/>
    <x v="1"/>
  </r>
  <r>
    <x v="1730"/>
    <x v="10"/>
    <x v="9"/>
    <x v="599"/>
    <n v="257.5"/>
    <x v="63"/>
    <x v="65"/>
    <x v="2"/>
    <x v="0"/>
    <x v="0"/>
    <x v="0"/>
    <x v="13"/>
    <x v="0"/>
    <x v="9"/>
    <x v="2"/>
  </r>
  <r>
    <x v="1731"/>
    <x v="0"/>
    <x v="5"/>
    <x v="136"/>
    <n v="283.8"/>
    <x v="63"/>
    <x v="60"/>
    <x v="2"/>
    <x v="3"/>
    <x v="4"/>
    <x v="0"/>
    <x v="21"/>
    <x v="5"/>
    <x v="9"/>
    <x v="2"/>
  </r>
  <r>
    <x v="1732"/>
    <x v="9"/>
    <x v="12"/>
    <x v="672"/>
    <n v="190.8"/>
    <x v="63"/>
    <x v="63"/>
    <x v="2"/>
    <x v="0"/>
    <x v="1"/>
    <x v="0"/>
    <x v="21"/>
    <x v="7"/>
    <x v="9"/>
    <x v="2"/>
  </r>
  <r>
    <x v="1733"/>
    <x v="7"/>
    <x v="9"/>
    <x v="508"/>
    <n v="368"/>
    <x v="63"/>
    <x v="60"/>
    <x v="1"/>
    <x v="1"/>
    <x v="0"/>
    <x v="0"/>
    <x v="21"/>
    <x v="5"/>
    <x v="9"/>
    <x v="1"/>
  </r>
  <r>
    <x v="1734"/>
    <x v="5"/>
    <x v="3"/>
    <x v="820"/>
    <n v="638.4"/>
    <x v="63"/>
    <x v="66"/>
    <x v="1"/>
    <x v="1"/>
    <x v="2"/>
    <x v="0"/>
    <x v="21"/>
    <x v="3"/>
    <x v="9"/>
    <x v="1"/>
  </r>
  <r>
    <x v="1735"/>
    <x v="1"/>
    <x v="8"/>
    <x v="310"/>
    <n v="289.60000000000002"/>
    <x v="63"/>
    <x v="63"/>
    <x v="1"/>
    <x v="2"/>
    <x v="2"/>
    <x v="0"/>
    <x v="1"/>
    <x v="7"/>
    <x v="9"/>
    <x v="1"/>
  </r>
  <r>
    <x v="1736"/>
    <x v="9"/>
    <x v="8"/>
    <x v="729"/>
    <n v="784"/>
    <x v="63"/>
    <x v="60"/>
    <x v="2"/>
    <x v="2"/>
    <x v="0"/>
    <x v="0"/>
    <x v="2"/>
    <x v="5"/>
    <x v="9"/>
    <x v="2"/>
  </r>
  <r>
    <x v="1737"/>
    <x v="1"/>
    <x v="8"/>
    <x v="458"/>
    <n v="348.8"/>
    <x v="63"/>
    <x v="66"/>
    <x v="2"/>
    <x v="2"/>
    <x v="0"/>
    <x v="0"/>
    <x v="22"/>
    <x v="3"/>
    <x v="9"/>
    <x v="2"/>
  </r>
  <r>
    <x v="1738"/>
    <x v="8"/>
    <x v="7"/>
    <x v="256"/>
    <n v="378"/>
    <x v="63"/>
    <x v="63"/>
    <x v="3"/>
    <x v="0"/>
    <x v="0"/>
    <x v="0"/>
    <x v="50"/>
    <x v="7"/>
    <x v="9"/>
    <x v="3"/>
  </r>
  <r>
    <x v="1739"/>
    <x v="17"/>
    <x v="9"/>
    <x v="46"/>
    <n v="318.5"/>
    <x v="63"/>
    <x v="70"/>
    <x v="2"/>
    <x v="2"/>
    <x v="1"/>
    <x v="0"/>
    <x v="3"/>
    <x v="2"/>
    <x v="9"/>
    <x v="2"/>
  </r>
  <r>
    <x v="1740"/>
    <x v="5"/>
    <x v="11"/>
    <x v="821"/>
    <n v="566.1"/>
    <x v="63"/>
    <x v="65"/>
    <x v="1"/>
    <x v="3"/>
    <x v="2"/>
    <x v="0"/>
    <x v="3"/>
    <x v="0"/>
    <x v="9"/>
    <x v="1"/>
  </r>
  <r>
    <x v="1741"/>
    <x v="6"/>
    <x v="3"/>
    <x v="227"/>
    <n v="431.90000000000003"/>
    <x v="63"/>
    <x v="70"/>
    <x v="2"/>
    <x v="2"/>
    <x v="2"/>
    <x v="0"/>
    <x v="3"/>
    <x v="2"/>
    <x v="9"/>
    <x v="2"/>
  </r>
  <r>
    <x v="1742"/>
    <x v="18"/>
    <x v="21"/>
    <x v="355"/>
    <n v="511"/>
    <x v="63"/>
    <x v="66"/>
    <x v="1"/>
    <x v="0"/>
    <x v="2"/>
    <x v="0"/>
    <x v="3"/>
    <x v="3"/>
    <x v="9"/>
    <x v="1"/>
  </r>
  <r>
    <x v="1743"/>
    <x v="11"/>
    <x v="2"/>
    <x v="543"/>
    <n v="295.79999999999995"/>
    <x v="63"/>
    <x v="70"/>
    <x v="3"/>
    <x v="0"/>
    <x v="4"/>
    <x v="0"/>
    <x v="3"/>
    <x v="2"/>
    <x v="9"/>
    <x v="3"/>
  </r>
  <r>
    <x v="1744"/>
    <x v="8"/>
    <x v="1"/>
    <x v="359"/>
    <n v="38.4"/>
    <x v="63"/>
    <x v="72"/>
    <x v="1"/>
    <x v="0"/>
    <x v="0"/>
    <x v="0"/>
    <x v="3"/>
    <x v="14"/>
    <x v="9"/>
    <x v="1"/>
  </r>
  <r>
    <x v="1745"/>
    <x v="3"/>
    <x v="13"/>
    <x v="495"/>
    <n v="333.6"/>
    <x v="63"/>
    <x v="60"/>
    <x v="2"/>
    <x v="0"/>
    <x v="2"/>
    <x v="0"/>
    <x v="3"/>
    <x v="5"/>
    <x v="9"/>
    <x v="2"/>
  </r>
  <r>
    <x v="1746"/>
    <x v="5"/>
    <x v="13"/>
    <x v="576"/>
    <n v="338.4"/>
    <x v="63"/>
    <x v="66"/>
    <x v="2"/>
    <x v="1"/>
    <x v="0"/>
    <x v="0"/>
    <x v="3"/>
    <x v="3"/>
    <x v="9"/>
    <x v="2"/>
  </r>
  <r>
    <x v="1747"/>
    <x v="4"/>
    <x v="8"/>
    <x v="39"/>
    <n v="344.8"/>
    <x v="63"/>
    <x v="60"/>
    <x v="2"/>
    <x v="4"/>
    <x v="0"/>
    <x v="0"/>
    <x v="3"/>
    <x v="5"/>
    <x v="9"/>
    <x v="2"/>
  </r>
  <r>
    <x v="1748"/>
    <x v="1"/>
    <x v="1"/>
    <x v="81"/>
    <n v="154.6"/>
    <x v="63"/>
    <x v="68"/>
    <x v="1"/>
    <x v="0"/>
    <x v="0"/>
    <x v="0"/>
    <x v="6"/>
    <x v="1"/>
    <x v="9"/>
    <x v="1"/>
  </r>
  <r>
    <x v="1749"/>
    <x v="9"/>
    <x v="8"/>
    <x v="629"/>
    <n v="306.39999999999998"/>
    <x v="63"/>
    <x v="66"/>
    <x v="1"/>
    <x v="0"/>
    <x v="0"/>
    <x v="0"/>
    <x v="7"/>
    <x v="3"/>
    <x v="9"/>
    <x v="1"/>
  </r>
  <r>
    <x v="1750"/>
    <x v="0"/>
    <x v="3"/>
    <x v="384"/>
    <n v="117.60000000000001"/>
    <x v="63"/>
    <x v="70"/>
    <x v="1"/>
    <x v="2"/>
    <x v="1"/>
    <x v="0"/>
    <x v="8"/>
    <x v="2"/>
    <x v="9"/>
    <x v="1"/>
  </r>
  <r>
    <x v="1751"/>
    <x v="2"/>
    <x v="2"/>
    <x v="56"/>
    <n v="189.60000000000002"/>
    <x v="63"/>
    <x v="66"/>
    <x v="2"/>
    <x v="0"/>
    <x v="2"/>
    <x v="0"/>
    <x v="8"/>
    <x v="3"/>
    <x v="9"/>
    <x v="2"/>
  </r>
  <r>
    <x v="1752"/>
    <x v="14"/>
    <x v="44"/>
    <x v="138"/>
    <n v="913.1"/>
    <x v="63"/>
    <x v="66"/>
    <x v="1"/>
    <x v="0"/>
    <x v="0"/>
    <x v="0"/>
    <x v="8"/>
    <x v="3"/>
    <x v="9"/>
    <x v="1"/>
  </r>
  <r>
    <x v="1753"/>
    <x v="10"/>
    <x v="2"/>
    <x v="511"/>
    <n v="137.39999999999998"/>
    <x v="63"/>
    <x v="66"/>
    <x v="2"/>
    <x v="1"/>
    <x v="2"/>
    <x v="0"/>
    <x v="8"/>
    <x v="3"/>
    <x v="9"/>
    <x v="2"/>
  </r>
  <r>
    <x v="1754"/>
    <x v="0"/>
    <x v="13"/>
    <x v="822"/>
    <n v="74.400000000000006"/>
    <x v="63"/>
    <x v="70"/>
    <x v="1"/>
    <x v="0"/>
    <x v="0"/>
    <x v="0"/>
    <x v="8"/>
    <x v="2"/>
    <x v="9"/>
    <x v="1"/>
  </r>
  <r>
    <x v="1755"/>
    <x v="14"/>
    <x v="2"/>
    <x v="179"/>
    <n v="152.39999999999998"/>
    <x v="64"/>
    <x v="66"/>
    <x v="2"/>
    <x v="4"/>
    <x v="0"/>
    <x v="0"/>
    <x v="17"/>
    <x v="7"/>
    <x v="9"/>
    <x v="2"/>
  </r>
  <r>
    <x v="1756"/>
    <x v="9"/>
    <x v="0"/>
    <x v="823"/>
    <n v="76"/>
    <x v="64"/>
    <x v="65"/>
    <x v="3"/>
    <x v="2"/>
    <x v="2"/>
    <x v="0"/>
    <x v="17"/>
    <x v="5"/>
    <x v="9"/>
    <x v="3"/>
  </r>
  <r>
    <x v="1757"/>
    <x v="1"/>
    <x v="1"/>
    <x v="424"/>
    <n v="103.8"/>
    <x v="64"/>
    <x v="68"/>
    <x v="1"/>
    <x v="1"/>
    <x v="2"/>
    <x v="0"/>
    <x v="26"/>
    <x v="3"/>
    <x v="9"/>
    <x v="1"/>
  </r>
  <r>
    <x v="1758"/>
    <x v="2"/>
    <x v="1"/>
    <x v="824"/>
    <n v="186.8"/>
    <x v="64"/>
    <x v="64"/>
    <x v="1"/>
    <x v="0"/>
    <x v="3"/>
    <x v="0"/>
    <x v="11"/>
    <x v="6"/>
    <x v="9"/>
    <x v="1"/>
  </r>
  <r>
    <x v="1759"/>
    <x v="7"/>
    <x v="13"/>
    <x v="607"/>
    <n v="184.8"/>
    <x v="64"/>
    <x v="60"/>
    <x v="2"/>
    <x v="1"/>
    <x v="0"/>
    <x v="0"/>
    <x v="11"/>
    <x v="2"/>
    <x v="9"/>
    <x v="2"/>
  </r>
  <r>
    <x v="1760"/>
    <x v="2"/>
    <x v="0"/>
    <x v="825"/>
    <n v="143.19999999999999"/>
    <x v="64"/>
    <x v="60"/>
    <x v="1"/>
    <x v="2"/>
    <x v="0"/>
    <x v="0"/>
    <x v="11"/>
    <x v="2"/>
    <x v="9"/>
    <x v="1"/>
  </r>
  <r>
    <x v="1761"/>
    <x v="6"/>
    <x v="5"/>
    <x v="664"/>
    <n v="444.4"/>
    <x v="64"/>
    <x v="70"/>
    <x v="1"/>
    <x v="2"/>
    <x v="2"/>
    <x v="0"/>
    <x v="18"/>
    <x v="1"/>
    <x v="9"/>
    <x v="1"/>
  </r>
  <r>
    <x v="1762"/>
    <x v="2"/>
    <x v="10"/>
    <x v="177"/>
    <n v="2498.5"/>
    <x v="64"/>
    <x v="70"/>
    <x v="1"/>
    <x v="1"/>
    <x v="1"/>
    <x v="0"/>
    <x v="18"/>
    <x v="1"/>
    <x v="9"/>
    <x v="1"/>
  </r>
  <r>
    <x v="1763"/>
    <x v="18"/>
    <x v="3"/>
    <x v="480"/>
    <n v="431.2"/>
    <x v="64"/>
    <x v="68"/>
    <x v="1"/>
    <x v="2"/>
    <x v="0"/>
    <x v="0"/>
    <x v="21"/>
    <x v="3"/>
    <x v="9"/>
    <x v="1"/>
  </r>
  <r>
    <x v="1764"/>
    <x v="9"/>
    <x v="9"/>
    <x v="195"/>
    <n v="163.5"/>
    <x v="64"/>
    <x v="70"/>
    <x v="1"/>
    <x v="2"/>
    <x v="0"/>
    <x v="0"/>
    <x v="1"/>
    <x v="1"/>
    <x v="9"/>
    <x v="1"/>
  </r>
  <r>
    <x v="1765"/>
    <x v="0"/>
    <x v="7"/>
    <x v="826"/>
    <n v="137"/>
    <x v="64"/>
    <x v="68"/>
    <x v="1"/>
    <x v="0"/>
    <x v="2"/>
    <x v="0"/>
    <x v="3"/>
    <x v="3"/>
    <x v="9"/>
    <x v="1"/>
  </r>
  <r>
    <x v="1766"/>
    <x v="0"/>
    <x v="12"/>
    <x v="201"/>
    <n v="128.4"/>
    <x v="64"/>
    <x v="68"/>
    <x v="1"/>
    <x v="4"/>
    <x v="1"/>
    <x v="0"/>
    <x v="3"/>
    <x v="3"/>
    <x v="9"/>
    <x v="1"/>
  </r>
  <r>
    <x v="1767"/>
    <x v="14"/>
    <x v="8"/>
    <x v="608"/>
    <n v="96"/>
    <x v="64"/>
    <x v="68"/>
    <x v="1"/>
    <x v="1"/>
    <x v="0"/>
    <x v="0"/>
    <x v="24"/>
    <x v="3"/>
    <x v="9"/>
    <x v="1"/>
  </r>
  <r>
    <x v="1768"/>
    <x v="12"/>
    <x v="0"/>
    <x v="780"/>
    <n v="64.3"/>
    <x v="64"/>
    <x v="70"/>
    <x v="2"/>
    <x v="2"/>
    <x v="2"/>
    <x v="0"/>
    <x v="6"/>
    <x v="1"/>
    <x v="9"/>
    <x v="2"/>
  </r>
  <r>
    <x v="1769"/>
    <x v="1"/>
    <x v="2"/>
    <x v="296"/>
    <n v="174.60000000000002"/>
    <x v="64"/>
    <x v="70"/>
    <x v="2"/>
    <x v="1"/>
    <x v="2"/>
    <x v="0"/>
    <x v="6"/>
    <x v="1"/>
    <x v="9"/>
    <x v="2"/>
  </r>
  <r>
    <x v="1770"/>
    <x v="6"/>
    <x v="12"/>
    <x v="737"/>
    <n v="236.8"/>
    <x v="64"/>
    <x v="66"/>
    <x v="1"/>
    <x v="1"/>
    <x v="2"/>
    <x v="0"/>
    <x v="6"/>
    <x v="7"/>
    <x v="9"/>
    <x v="1"/>
  </r>
  <r>
    <x v="1771"/>
    <x v="10"/>
    <x v="5"/>
    <x v="533"/>
    <n v="391.6"/>
    <x v="64"/>
    <x v="64"/>
    <x v="1"/>
    <x v="0"/>
    <x v="2"/>
    <x v="0"/>
    <x v="8"/>
    <x v="6"/>
    <x v="9"/>
    <x v="1"/>
  </r>
  <r>
    <x v="1772"/>
    <x v="16"/>
    <x v="8"/>
    <x v="571"/>
    <n v="296"/>
    <x v="64"/>
    <x v="65"/>
    <x v="2"/>
    <x v="2"/>
    <x v="1"/>
    <x v="0"/>
    <x v="8"/>
    <x v="5"/>
    <x v="9"/>
    <x v="2"/>
  </r>
  <r>
    <x v="1773"/>
    <x v="1"/>
    <x v="15"/>
    <x v="827"/>
    <n v="1050.3999999999999"/>
    <x v="64"/>
    <x v="70"/>
    <x v="2"/>
    <x v="0"/>
    <x v="0"/>
    <x v="0"/>
    <x v="8"/>
    <x v="1"/>
    <x v="9"/>
    <x v="2"/>
  </r>
  <r>
    <x v="1774"/>
    <x v="8"/>
    <x v="1"/>
    <x v="56"/>
    <n v="126.4"/>
    <x v="64"/>
    <x v="68"/>
    <x v="1"/>
    <x v="0"/>
    <x v="1"/>
    <x v="0"/>
    <x v="8"/>
    <x v="3"/>
    <x v="9"/>
    <x v="1"/>
  </r>
  <r>
    <x v="1775"/>
    <x v="3"/>
    <x v="1"/>
    <x v="363"/>
    <n v="81.599999999999994"/>
    <x v="64"/>
    <x v="70"/>
    <x v="1"/>
    <x v="0"/>
    <x v="1"/>
    <x v="0"/>
    <x v="17"/>
    <x v="1"/>
    <x v="9"/>
    <x v="1"/>
  </r>
  <r>
    <x v="1776"/>
    <x v="13"/>
    <x v="13"/>
    <x v="679"/>
    <n v="154.19999999999999"/>
    <x v="64"/>
    <x v="70"/>
    <x v="1"/>
    <x v="4"/>
    <x v="0"/>
    <x v="0"/>
    <x v="18"/>
    <x v="1"/>
    <x v="9"/>
    <x v="1"/>
  </r>
  <r>
    <x v="1777"/>
    <x v="16"/>
    <x v="1"/>
    <x v="308"/>
    <n v="99.8"/>
    <x v="64"/>
    <x v="60"/>
    <x v="1"/>
    <x v="0"/>
    <x v="0"/>
    <x v="0"/>
    <x v="20"/>
    <x v="2"/>
    <x v="9"/>
    <x v="1"/>
  </r>
  <r>
    <x v="1778"/>
    <x v="8"/>
    <x v="1"/>
    <x v="736"/>
    <n v="40.4"/>
    <x v="64"/>
    <x v="70"/>
    <x v="2"/>
    <x v="3"/>
    <x v="0"/>
    <x v="0"/>
    <x v="21"/>
    <x v="1"/>
    <x v="9"/>
    <x v="2"/>
  </r>
  <r>
    <x v="1779"/>
    <x v="6"/>
    <x v="2"/>
    <x v="72"/>
    <n v="145.19999999999999"/>
    <x v="64"/>
    <x v="71"/>
    <x v="2"/>
    <x v="0"/>
    <x v="2"/>
    <x v="0"/>
    <x v="21"/>
    <x v="0"/>
    <x v="9"/>
    <x v="2"/>
  </r>
  <r>
    <x v="1780"/>
    <x v="6"/>
    <x v="1"/>
    <x v="328"/>
    <n v="162"/>
    <x v="64"/>
    <x v="68"/>
    <x v="2"/>
    <x v="1"/>
    <x v="2"/>
    <x v="0"/>
    <x v="21"/>
    <x v="3"/>
    <x v="9"/>
    <x v="2"/>
  </r>
  <r>
    <x v="1781"/>
    <x v="8"/>
    <x v="13"/>
    <x v="157"/>
    <n v="119.39999999999999"/>
    <x v="64"/>
    <x v="60"/>
    <x v="2"/>
    <x v="0"/>
    <x v="1"/>
    <x v="0"/>
    <x v="22"/>
    <x v="2"/>
    <x v="9"/>
    <x v="2"/>
  </r>
  <r>
    <x v="1782"/>
    <x v="4"/>
    <x v="12"/>
    <x v="380"/>
    <n v="128.80000000000001"/>
    <x v="64"/>
    <x v="69"/>
    <x v="1"/>
    <x v="0"/>
    <x v="0"/>
    <x v="0"/>
    <x v="22"/>
    <x v="14"/>
    <x v="9"/>
    <x v="1"/>
  </r>
  <r>
    <x v="1783"/>
    <x v="5"/>
    <x v="2"/>
    <x v="828"/>
    <n v="230.39999999999998"/>
    <x v="64"/>
    <x v="68"/>
    <x v="2"/>
    <x v="0"/>
    <x v="1"/>
    <x v="0"/>
    <x v="3"/>
    <x v="3"/>
    <x v="9"/>
    <x v="2"/>
  </r>
  <r>
    <x v="1784"/>
    <x v="6"/>
    <x v="1"/>
    <x v="245"/>
    <n v="83.8"/>
    <x v="64"/>
    <x v="70"/>
    <x v="2"/>
    <x v="0"/>
    <x v="0"/>
    <x v="0"/>
    <x v="3"/>
    <x v="1"/>
    <x v="9"/>
    <x v="2"/>
  </r>
  <r>
    <x v="1785"/>
    <x v="0"/>
    <x v="3"/>
    <x v="324"/>
    <n v="238"/>
    <x v="64"/>
    <x v="70"/>
    <x v="2"/>
    <x v="1"/>
    <x v="2"/>
    <x v="0"/>
    <x v="3"/>
    <x v="1"/>
    <x v="9"/>
    <x v="2"/>
  </r>
  <r>
    <x v="1786"/>
    <x v="7"/>
    <x v="3"/>
    <x v="148"/>
    <n v="429.09999999999997"/>
    <x v="64"/>
    <x v="66"/>
    <x v="2"/>
    <x v="4"/>
    <x v="2"/>
    <x v="0"/>
    <x v="3"/>
    <x v="7"/>
    <x v="9"/>
    <x v="2"/>
  </r>
  <r>
    <x v="1787"/>
    <x v="9"/>
    <x v="0"/>
    <x v="86"/>
    <n v="54.7"/>
    <x v="65"/>
    <x v="70"/>
    <x v="1"/>
    <x v="0"/>
    <x v="1"/>
    <x v="0"/>
    <x v="3"/>
    <x v="3"/>
    <x v="9"/>
    <x v="1"/>
  </r>
  <r>
    <x v="1788"/>
    <x v="6"/>
    <x v="7"/>
    <x v="288"/>
    <n v="847"/>
    <x v="65"/>
    <x v="71"/>
    <x v="2"/>
    <x v="0"/>
    <x v="0"/>
    <x v="0"/>
    <x v="3"/>
    <x v="5"/>
    <x v="9"/>
    <x v="2"/>
  </r>
  <r>
    <x v="1789"/>
    <x v="1"/>
    <x v="2"/>
    <x v="824"/>
    <n v="280.20000000000005"/>
    <x v="65"/>
    <x v="71"/>
    <x v="2"/>
    <x v="3"/>
    <x v="0"/>
    <x v="0"/>
    <x v="3"/>
    <x v="5"/>
    <x v="9"/>
    <x v="2"/>
  </r>
  <r>
    <x v="1790"/>
    <x v="8"/>
    <x v="9"/>
    <x v="49"/>
    <n v="135"/>
    <x v="65"/>
    <x v="65"/>
    <x v="1"/>
    <x v="0"/>
    <x v="1"/>
    <x v="0"/>
    <x v="3"/>
    <x v="2"/>
    <x v="9"/>
    <x v="1"/>
  </r>
  <r>
    <x v="1791"/>
    <x v="0"/>
    <x v="12"/>
    <x v="0"/>
    <n v="43.6"/>
    <x v="65"/>
    <x v="70"/>
    <x v="1"/>
    <x v="2"/>
    <x v="0"/>
    <x v="0"/>
    <x v="3"/>
    <x v="3"/>
    <x v="9"/>
    <x v="1"/>
  </r>
  <r>
    <x v="1792"/>
    <x v="16"/>
    <x v="2"/>
    <x v="196"/>
    <n v="144"/>
    <x v="65"/>
    <x v="74"/>
    <x v="2"/>
    <x v="4"/>
    <x v="0"/>
    <x v="0"/>
    <x v="3"/>
    <x v="0"/>
    <x v="9"/>
    <x v="2"/>
  </r>
  <r>
    <x v="1793"/>
    <x v="5"/>
    <x v="1"/>
    <x v="469"/>
    <n v="135.80000000000001"/>
    <x v="65"/>
    <x v="70"/>
    <x v="1"/>
    <x v="0"/>
    <x v="2"/>
    <x v="0"/>
    <x v="23"/>
    <x v="3"/>
    <x v="9"/>
    <x v="1"/>
  </r>
  <r>
    <x v="1794"/>
    <x v="4"/>
    <x v="2"/>
    <x v="307"/>
    <n v="108"/>
    <x v="65"/>
    <x v="70"/>
    <x v="1"/>
    <x v="1"/>
    <x v="0"/>
    <x v="0"/>
    <x v="6"/>
    <x v="3"/>
    <x v="9"/>
    <x v="1"/>
  </r>
  <r>
    <x v="1795"/>
    <x v="2"/>
    <x v="0"/>
    <x v="795"/>
    <n v="128.80000000000001"/>
    <x v="65"/>
    <x v="70"/>
    <x v="1"/>
    <x v="4"/>
    <x v="2"/>
    <x v="0"/>
    <x v="6"/>
    <x v="3"/>
    <x v="9"/>
    <x v="1"/>
  </r>
  <r>
    <x v="1796"/>
    <x v="18"/>
    <x v="3"/>
    <x v="57"/>
    <n v="233.09999999999997"/>
    <x v="65"/>
    <x v="70"/>
    <x v="2"/>
    <x v="3"/>
    <x v="0"/>
    <x v="0"/>
    <x v="8"/>
    <x v="3"/>
    <x v="9"/>
    <x v="2"/>
  </r>
  <r>
    <x v="1797"/>
    <x v="10"/>
    <x v="2"/>
    <x v="256"/>
    <n v="113.39999999999999"/>
    <x v="65"/>
    <x v="60"/>
    <x v="1"/>
    <x v="1"/>
    <x v="2"/>
    <x v="0"/>
    <x v="8"/>
    <x v="1"/>
    <x v="9"/>
    <x v="1"/>
  </r>
  <r>
    <x v="1798"/>
    <x v="5"/>
    <x v="2"/>
    <x v="269"/>
    <n v="78"/>
    <x v="65"/>
    <x v="74"/>
    <x v="2"/>
    <x v="0"/>
    <x v="0"/>
    <x v="0"/>
    <x v="8"/>
    <x v="0"/>
    <x v="9"/>
    <x v="2"/>
  </r>
  <r>
    <x v="1799"/>
    <x v="8"/>
    <x v="10"/>
    <x v="805"/>
    <n v="537.70000000000005"/>
    <x v="65"/>
    <x v="70"/>
    <x v="2"/>
    <x v="3"/>
    <x v="4"/>
    <x v="0"/>
    <x v="8"/>
    <x v="3"/>
    <x v="9"/>
    <x v="2"/>
  </r>
  <r>
    <x v="1800"/>
    <x v="8"/>
    <x v="12"/>
    <x v="375"/>
    <n v="125.2"/>
    <x v="65"/>
    <x v="68"/>
    <x v="2"/>
    <x v="0"/>
    <x v="0"/>
    <x v="0"/>
    <x v="8"/>
    <x v="7"/>
    <x v="9"/>
    <x v="2"/>
  </r>
  <r>
    <x v="1801"/>
    <x v="7"/>
    <x v="2"/>
    <x v="181"/>
    <n v="208.5"/>
    <x v="65"/>
    <x v="70"/>
    <x v="2"/>
    <x v="3"/>
    <x v="2"/>
    <x v="0"/>
    <x v="8"/>
    <x v="3"/>
    <x v="9"/>
    <x v="2"/>
  </r>
  <r>
    <x v="1802"/>
    <x v="0"/>
    <x v="1"/>
    <x v="569"/>
    <n v="33.4"/>
    <x v="65"/>
    <x v="70"/>
    <x v="2"/>
    <x v="3"/>
    <x v="1"/>
    <x v="0"/>
    <x v="8"/>
    <x v="3"/>
    <x v="9"/>
    <x v="2"/>
  </r>
  <r>
    <x v="1803"/>
    <x v="9"/>
    <x v="1"/>
    <x v="829"/>
    <n v="125.2"/>
    <x v="65"/>
    <x v="70"/>
    <x v="1"/>
    <x v="2"/>
    <x v="2"/>
    <x v="0"/>
    <x v="9"/>
    <x v="3"/>
    <x v="9"/>
    <x v="1"/>
  </r>
  <r>
    <x v="1804"/>
    <x v="7"/>
    <x v="0"/>
    <x v="830"/>
    <n v="81.2"/>
    <x v="65"/>
    <x v="64"/>
    <x v="1"/>
    <x v="4"/>
    <x v="4"/>
    <x v="0"/>
    <x v="9"/>
    <x v="4"/>
    <x v="9"/>
    <x v="1"/>
  </r>
  <r>
    <x v="1805"/>
    <x v="0"/>
    <x v="7"/>
    <x v="335"/>
    <n v="127"/>
    <x v="65"/>
    <x v="70"/>
    <x v="2"/>
    <x v="0"/>
    <x v="2"/>
    <x v="0"/>
    <x v="9"/>
    <x v="3"/>
    <x v="9"/>
    <x v="2"/>
  </r>
  <r>
    <x v="1806"/>
    <x v="7"/>
    <x v="12"/>
    <x v="777"/>
    <n v="310.8"/>
    <x v="66"/>
    <x v="74"/>
    <x v="1"/>
    <x v="1"/>
    <x v="0"/>
    <x v="0"/>
    <x v="11"/>
    <x v="5"/>
    <x v="9"/>
    <x v="1"/>
  </r>
  <r>
    <x v="1807"/>
    <x v="5"/>
    <x v="1"/>
    <x v="105"/>
    <n v="74.599999999999994"/>
    <x v="66"/>
    <x v="60"/>
    <x v="2"/>
    <x v="0"/>
    <x v="2"/>
    <x v="0"/>
    <x v="18"/>
    <x v="3"/>
    <x v="9"/>
    <x v="2"/>
  </r>
  <r>
    <x v="1808"/>
    <x v="10"/>
    <x v="12"/>
    <x v="533"/>
    <n v="142.4"/>
    <x v="66"/>
    <x v="65"/>
    <x v="2"/>
    <x v="1"/>
    <x v="1"/>
    <x v="0"/>
    <x v="19"/>
    <x v="1"/>
    <x v="9"/>
    <x v="2"/>
  </r>
  <r>
    <x v="1809"/>
    <x v="2"/>
    <x v="2"/>
    <x v="831"/>
    <n v="285"/>
    <x v="66"/>
    <x v="74"/>
    <x v="2"/>
    <x v="2"/>
    <x v="2"/>
    <x v="0"/>
    <x v="56"/>
    <x v="5"/>
    <x v="9"/>
    <x v="2"/>
  </r>
  <r>
    <x v="1810"/>
    <x v="2"/>
    <x v="12"/>
    <x v="832"/>
    <n v="688.4"/>
    <x v="66"/>
    <x v="74"/>
    <x v="3"/>
    <x v="2"/>
    <x v="2"/>
    <x v="0"/>
    <x v="21"/>
    <x v="5"/>
    <x v="9"/>
    <x v="3"/>
  </r>
  <r>
    <x v="1811"/>
    <x v="2"/>
    <x v="1"/>
    <x v="833"/>
    <n v="466"/>
    <x v="66"/>
    <x v="71"/>
    <x v="2"/>
    <x v="1"/>
    <x v="0"/>
    <x v="0"/>
    <x v="21"/>
    <x v="2"/>
    <x v="9"/>
    <x v="2"/>
  </r>
  <r>
    <x v="1812"/>
    <x v="0"/>
    <x v="0"/>
    <x v="347"/>
    <n v="43.5"/>
    <x v="66"/>
    <x v="60"/>
    <x v="2"/>
    <x v="2"/>
    <x v="2"/>
    <x v="0"/>
    <x v="21"/>
    <x v="3"/>
    <x v="9"/>
    <x v="2"/>
  </r>
  <r>
    <x v="1813"/>
    <x v="9"/>
    <x v="1"/>
    <x v="134"/>
    <n v="95.6"/>
    <x v="66"/>
    <x v="71"/>
    <x v="1"/>
    <x v="4"/>
    <x v="2"/>
    <x v="0"/>
    <x v="1"/>
    <x v="2"/>
    <x v="9"/>
    <x v="1"/>
  </r>
  <r>
    <x v="1814"/>
    <x v="12"/>
    <x v="1"/>
    <x v="834"/>
    <n v="131.6"/>
    <x v="66"/>
    <x v="65"/>
    <x v="2"/>
    <x v="0"/>
    <x v="3"/>
    <x v="0"/>
    <x v="33"/>
    <x v="1"/>
    <x v="9"/>
    <x v="2"/>
  </r>
  <r>
    <x v="1815"/>
    <x v="15"/>
    <x v="5"/>
    <x v="26"/>
    <n v="425.70000000000005"/>
    <x v="66"/>
    <x v="70"/>
    <x v="1"/>
    <x v="0"/>
    <x v="0"/>
    <x v="0"/>
    <x v="22"/>
    <x v="7"/>
    <x v="9"/>
    <x v="1"/>
  </r>
  <r>
    <x v="1816"/>
    <x v="3"/>
    <x v="12"/>
    <x v="740"/>
    <n v="222.8"/>
    <x v="66"/>
    <x v="65"/>
    <x v="3"/>
    <x v="0"/>
    <x v="1"/>
    <x v="0"/>
    <x v="22"/>
    <x v="1"/>
    <x v="9"/>
    <x v="3"/>
  </r>
  <r>
    <x v="1817"/>
    <x v="7"/>
    <x v="1"/>
    <x v="835"/>
    <n v="204.8"/>
    <x v="66"/>
    <x v="70"/>
    <x v="2"/>
    <x v="1"/>
    <x v="0"/>
    <x v="0"/>
    <x v="3"/>
    <x v="7"/>
    <x v="9"/>
    <x v="2"/>
  </r>
  <r>
    <x v="1818"/>
    <x v="1"/>
    <x v="0"/>
    <x v="116"/>
    <n v="92"/>
    <x v="66"/>
    <x v="74"/>
    <x v="0"/>
    <x v="2"/>
    <x v="0"/>
    <x v="0"/>
    <x v="3"/>
    <x v="5"/>
    <x v="9"/>
    <x v="0"/>
  </r>
  <r>
    <x v="1819"/>
    <x v="6"/>
    <x v="12"/>
    <x v="836"/>
    <n v="303.60000000000002"/>
    <x v="66"/>
    <x v="65"/>
    <x v="2"/>
    <x v="1"/>
    <x v="0"/>
    <x v="0"/>
    <x v="3"/>
    <x v="1"/>
    <x v="9"/>
    <x v="2"/>
  </r>
  <r>
    <x v="1820"/>
    <x v="1"/>
    <x v="12"/>
    <x v="310"/>
    <n v="144.80000000000001"/>
    <x v="66"/>
    <x v="60"/>
    <x v="2"/>
    <x v="1"/>
    <x v="0"/>
    <x v="0"/>
    <x v="3"/>
    <x v="3"/>
    <x v="9"/>
    <x v="2"/>
  </r>
  <r>
    <x v="1821"/>
    <x v="6"/>
    <x v="45"/>
    <x v="5"/>
    <n v="7264.5"/>
    <x v="66"/>
    <x v="65"/>
    <x v="0"/>
    <x v="3"/>
    <x v="0"/>
    <x v="0"/>
    <x v="3"/>
    <x v="1"/>
    <x v="9"/>
    <x v="0"/>
  </r>
  <r>
    <x v="1822"/>
    <x v="19"/>
    <x v="4"/>
    <x v="515"/>
    <n v="628.79999999999995"/>
    <x v="66"/>
    <x v="70"/>
    <x v="1"/>
    <x v="2"/>
    <x v="0"/>
    <x v="0"/>
    <x v="3"/>
    <x v="7"/>
    <x v="9"/>
    <x v="1"/>
  </r>
  <r>
    <x v="1823"/>
    <x v="12"/>
    <x v="2"/>
    <x v="181"/>
    <n v="208.5"/>
    <x v="66"/>
    <x v="60"/>
    <x v="3"/>
    <x v="4"/>
    <x v="0"/>
    <x v="0"/>
    <x v="3"/>
    <x v="3"/>
    <x v="9"/>
    <x v="3"/>
  </r>
  <r>
    <x v="1824"/>
    <x v="0"/>
    <x v="0"/>
    <x v="83"/>
    <n v="15.5"/>
    <x v="66"/>
    <x v="65"/>
    <x v="1"/>
    <x v="0"/>
    <x v="0"/>
    <x v="0"/>
    <x v="3"/>
    <x v="1"/>
    <x v="9"/>
    <x v="1"/>
  </r>
  <r>
    <x v="1825"/>
    <x v="4"/>
    <x v="12"/>
    <x v="200"/>
    <n v="140.80000000000001"/>
    <x v="66"/>
    <x v="60"/>
    <x v="2"/>
    <x v="2"/>
    <x v="2"/>
    <x v="0"/>
    <x v="3"/>
    <x v="3"/>
    <x v="9"/>
    <x v="2"/>
  </r>
  <r>
    <x v="1826"/>
    <x v="8"/>
    <x v="13"/>
    <x v="292"/>
    <n v="207.60000000000002"/>
    <x v="66"/>
    <x v="60"/>
    <x v="0"/>
    <x v="0"/>
    <x v="1"/>
    <x v="0"/>
    <x v="3"/>
    <x v="3"/>
    <x v="9"/>
    <x v="0"/>
  </r>
  <r>
    <x v="1827"/>
    <x v="4"/>
    <x v="0"/>
    <x v="210"/>
    <n v="21.3"/>
    <x v="67"/>
    <x v="65"/>
    <x v="1"/>
    <x v="2"/>
    <x v="1"/>
    <x v="0"/>
    <x v="3"/>
    <x v="3"/>
    <x v="10"/>
    <x v="1"/>
  </r>
  <r>
    <x v="1828"/>
    <x v="6"/>
    <x v="1"/>
    <x v="837"/>
    <n v="273"/>
    <x v="67"/>
    <x v="72"/>
    <x v="2"/>
    <x v="0"/>
    <x v="0"/>
    <x v="0"/>
    <x v="37"/>
    <x v="4"/>
    <x v="10"/>
    <x v="2"/>
  </r>
  <r>
    <x v="1829"/>
    <x v="9"/>
    <x v="3"/>
    <x v="630"/>
    <n v="214.9"/>
    <x v="67"/>
    <x v="65"/>
    <x v="1"/>
    <x v="2"/>
    <x v="2"/>
    <x v="0"/>
    <x v="25"/>
    <x v="3"/>
    <x v="10"/>
    <x v="1"/>
  </r>
  <r>
    <x v="1830"/>
    <x v="1"/>
    <x v="1"/>
    <x v="480"/>
    <n v="123.2"/>
    <x v="67"/>
    <x v="65"/>
    <x v="2"/>
    <x v="2"/>
    <x v="2"/>
    <x v="0"/>
    <x v="23"/>
    <x v="3"/>
    <x v="10"/>
    <x v="2"/>
  </r>
  <r>
    <x v="1831"/>
    <x v="6"/>
    <x v="12"/>
    <x v="352"/>
    <n v="217.2"/>
    <x v="67"/>
    <x v="71"/>
    <x v="0"/>
    <x v="4"/>
    <x v="0"/>
    <x v="0"/>
    <x v="7"/>
    <x v="1"/>
    <x v="10"/>
    <x v="0"/>
  </r>
  <r>
    <x v="1832"/>
    <x v="1"/>
    <x v="1"/>
    <x v="369"/>
    <n v="88.2"/>
    <x v="67"/>
    <x v="75"/>
    <x v="2"/>
    <x v="0"/>
    <x v="2"/>
    <x v="0"/>
    <x v="8"/>
    <x v="13"/>
    <x v="10"/>
    <x v="2"/>
  </r>
  <r>
    <x v="1833"/>
    <x v="8"/>
    <x v="12"/>
    <x v="347"/>
    <n v="174"/>
    <x v="67"/>
    <x v="72"/>
    <x v="1"/>
    <x v="3"/>
    <x v="0"/>
    <x v="0"/>
    <x v="8"/>
    <x v="4"/>
    <x v="10"/>
    <x v="1"/>
  </r>
  <r>
    <x v="1834"/>
    <x v="8"/>
    <x v="2"/>
    <x v="297"/>
    <n v="144.60000000000002"/>
    <x v="67"/>
    <x v="64"/>
    <x v="1"/>
    <x v="3"/>
    <x v="1"/>
    <x v="0"/>
    <x v="8"/>
    <x v="5"/>
    <x v="10"/>
    <x v="1"/>
  </r>
  <r>
    <x v="1835"/>
    <x v="19"/>
    <x v="0"/>
    <x v="826"/>
    <n v="13.7"/>
    <x v="67"/>
    <x v="65"/>
    <x v="2"/>
    <x v="2"/>
    <x v="2"/>
    <x v="0"/>
    <x v="8"/>
    <x v="3"/>
    <x v="10"/>
    <x v="2"/>
  </r>
  <r>
    <x v="1836"/>
    <x v="2"/>
    <x v="1"/>
    <x v="792"/>
    <n v="221"/>
    <x v="67"/>
    <x v="65"/>
    <x v="2"/>
    <x v="0"/>
    <x v="1"/>
    <x v="0"/>
    <x v="8"/>
    <x v="3"/>
    <x v="10"/>
    <x v="2"/>
  </r>
  <r>
    <x v="1837"/>
    <x v="8"/>
    <x v="2"/>
    <x v="269"/>
    <n v="78"/>
    <x v="67"/>
    <x v="67"/>
    <x v="2"/>
    <x v="1"/>
    <x v="1"/>
    <x v="0"/>
    <x v="8"/>
    <x v="0"/>
    <x v="10"/>
    <x v="2"/>
  </r>
  <r>
    <x v="1838"/>
    <x v="2"/>
    <x v="7"/>
    <x v="838"/>
    <n v="1407"/>
    <x v="67"/>
    <x v="72"/>
    <x v="1"/>
    <x v="3"/>
    <x v="1"/>
    <x v="0"/>
    <x v="8"/>
    <x v="4"/>
    <x v="10"/>
    <x v="1"/>
  </r>
  <r>
    <x v="1839"/>
    <x v="17"/>
    <x v="1"/>
    <x v="52"/>
    <n v="83.4"/>
    <x v="67"/>
    <x v="76"/>
    <x v="2"/>
    <x v="0"/>
    <x v="4"/>
    <x v="0"/>
    <x v="8"/>
    <x v="9"/>
    <x v="10"/>
    <x v="2"/>
  </r>
  <r>
    <x v="1840"/>
    <x v="2"/>
    <x v="1"/>
    <x v="839"/>
    <n v="270.2"/>
    <x v="67"/>
    <x v="65"/>
    <x v="1"/>
    <x v="0"/>
    <x v="2"/>
    <x v="0"/>
    <x v="17"/>
    <x v="3"/>
    <x v="10"/>
    <x v="1"/>
  </r>
  <r>
    <x v="1841"/>
    <x v="12"/>
    <x v="32"/>
    <x v="840"/>
    <n v="2101"/>
    <x v="67"/>
    <x v="65"/>
    <x v="2"/>
    <x v="4"/>
    <x v="4"/>
    <x v="0"/>
    <x v="26"/>
    <x v="3"/>
    <x v="10"/>
    <x v="2"/>
  </r>
  <r>
    <x v="1842"/>
    <x v="15"/>
    <x v="0"/>
    <x v="423"/>
    <n v="25.5"/>
    <x v="67"/>
    <x v="74"/>
    <x v="0"/>
    <x v="2"/>
    <x v="2"/>
    <x v="0"/>
    <x v="11"/>
    <x v="2"/>
    <x v="10"/>
    <x v="0"/>
  </r>
  <r>
    <x v="1843"/>
    <x v="1"/>
    <x v="0"/>
    <x v="325"/>
    <n v="42.6"/>
    <x v="67"/>
    <x v="64"/>
    <x v="2"/>
    <x v="0"/>
    <x v="0"/>
    <x v="0"/>
    <x v="11"/>
    <x v="5"/>
    <x v="10"/>
    <x v="2"/>
  </r>
  <r>
    <x v="1844"/>
    <x v="8"/>
    <x v="20"/>
    <x v="498"/>
    <n v="486"/>
    <x v="67"/>
    <x v="65"/>
    <x v="1"/>
    <x v="1"/>
    <x v="1"/>
    <x v="0"/>
    <x v="11"/>
    <x v="3"/>
    <x v="10"/>
    <x v="1"/>
  </r>
  <r>
    <x v="1845"/>
    <x v="4"/>
    <x v="12"/>
    <x v="736"/>
    <n v="80.8"/>
    <x v="67"/>
    <x v="65"/>
    <x v="3"/>
    <x v="2"/>
    <x v="0"/>
    <x v="0"/>
    <x v="11"/>
    <x v="3"/>
    <x v="10"/>
    <x v="3"/>
  </r>
  <r>
    <x v="1846"/>
    <x v="16"/>
    <x v="2"/>
    <x v="166"/>
    <n v="157.5"/>
    <x v="67"/>
    <x v="67"/>
    <x v="2"/>
    <x v="4"/>
    <x v="0"/>
    <x v="0"/>
    <x v="18"/>
    <x v="0"/>
    <x v="10"/>
    <x v="2"/>
  </r>
  <r>
    <x v="1847"/>
    <x v="2"/>
    <x v="9"/>
    <x v="316"/>
    <n v="299.5"/>
    <x v="67"/>
    <x v="71"/>
    <x v="2"/>
    <x v="2"/>
    <x v="0"/>
    <x v="0"/>
    <x v="19"/>
    <x v="1"/>
    <x v="10"/>
    <x v="2"/>
  </r>
  <r>
    <x v="1848"/>
    <x v="4"/>
    <x v="1"/>
    <x v="459"/>
    <n v="106.4"/>
    <x v="67"/>
    <x v="65"/>
    <x v="2"/>
    <x v="1"/>
    <x v="3"/>
    <x v="0"/>
    <x v="20"/>
    <x v="3"/>
    <x v="10"/>
    <x v="2"/>
  </r>
  <r>
    <x v="1849"/>
    <x v="2"/>
    <x v="1"/>
    <x v="841"/>
    <n v="120"/>
    <x v="67"/>
    <x v="72"/>
    <x v="1"/>
    <x v="1"/>
    <x v="2"/>
    <x v="0"/>
    <x v="20"/>
    <x v="4"/>
    <x v="10"/>
    <x v="1"/>
  </r>
  <r>
    <x v="1850"/>
    <x v="8"/>
    <x v="2"/>
    <x v="143"/>
    <n v="87.9"/>
    <x v="67"/>
    <x v="65"/>
    <x v="2"/>
    <x v="4"/>
    <x v="0"/>
    <x v="0"/>
    <x v="13"/>
    <x v="3"/>
    <x v="10"/>
    <x v="2"/>
  </r>
  <r>
    <x v="1851"/>
    <x v="12"/>
    <x v="1"/>
    <x v="842"/>
    <n v="110.8"/>
    <x v="67"/>
    <x v="65"/>
    <x v="2"/>
    <x v="0"/>
    <x v="2"/>
    <x v="0"/>
    <x v="21"/>
    <x v="3"/>
    <x v="10"/>
    <x v="2"/>
  </r>
  <r>
    <x v="1852"/>
    <x v="0"/>
    <x v="9"/>
    <x v="260"/>
    <n v="100.5"/>
    <x v="67"/>
    <x v="71"/>
    <x v="2"/>
    <x v="1"/>
    <x v="2"/>
    <x v="0"/>
    <x v="21"/>
    <x v="1"/>
    <x v="10"/>
    <x v="2"/>
  </r>
  <r>
    <x v="1853"/>
    <x v="14"/>
    <x v="9"/>
    <x v="209"/>
    <n v="120"/>
    <x v="67"/>
    <x v="74"/>
    <x v="1"/>
    <x v="2"/>
    <x v="0"/>
    <x v="0"/>
    <x v="1"/>
    <x v="2"/>
    <x v="10"/>
    <x v="1"/>
  </r>
  <r>
    <x v="1854"/>
    <x v="8"/>
    <x v="1"/>
    <x v="1"/>
    <n v="61.2"/>
    <x v="68"/>
    <x v="74"/>
    <x v="2"/>
    <x v="0"/>
    <x v="0"/>
    <x v="0"/>
    <x v="1"/>
    <x v="1"/>
    <x v="10"/>
    <x v="2"/>
  </r>
  <r>
    <x v="1855"/>
    <x v="10"/>
    <x v="9"/>
    <x v="614"/>
    <n v="165"/>
    <x v="68"/>
    <x v="71"/>
    <x v="1"/>
    <x v="1"/>
    <x v="1"/>
    <x v="0"/>
    <x v="27"/>
    <x v="3"/>
    <x v="10"/>
    <x v="1"/>
  </r>
  <r>
    <x v="1856"/>
    <x v="17"/>
    <x v="11"/>
    <x v="624"/>
    <n v="378.90000000000003"/>
    <x v="68"/>
    <x v="69"/>
    <x v="2"/>
    <x v="2"/>
    <x v="0"/>
    <x v="0"/>
    <x v="44"/>
    <x v="4"/>
    <x v="10"/>
    <x v="2"/>
  </r>
  <r>
    <x v="1857"/>
    <x v="6"/>
    <x v="3"/>
    <x v="777"/>
    <n v="543.9"/>
    <x v="68"/>
    <x v="72"/>
    <x v="2"/>
    <x v="1"/>
    <x v="2"/>
    <x v="0"/>
    <x v="50"/>
    <x v="0"/>
    <x v="10"/>
    <x v="2"/>
  </r>
  <r>
    <x v="1858"/>
    <x v="17"/>
    <x v="13"/>
    <x v="188"/>
    <n v="136.19999999999999"/>
    <x v="68"/>
    <x v="64"/>
    <x v="2"/>
    <x v="2"/>
    <x v="0"/>
    <x v="0"/>
    <x v="3"/>
    <x v="2"/>
    <x v="10"/>
    <x v="2"/>
  </r>
  <r>
    <x v="1859"/>
    <x v="2"/>
    <x v="1"/>
    <x v="819"/>
    <n v="266"/>
    <x v="68"/>
    <x v="65"/>
    <x v="1"/>
    <x v="2"/>
    <x v="2"/>
    <x v="0"/>
    <x v="3"/>
    <x v="7"/>
    <x v="10"/>
    <x v="1"/>
  </r>
  <r>
    <x v="1860"/>
    <x v="0"/>
    <x v="1"/>
    <x v="121"/>
    <n v="46.6"/>
    <x v="68"/>
    <x v="71"/>
    <x v="1"/>
    <x v="1"/>
    <x v="2"/>
    <x v="0"/>
    <x v="3"/>
    <x v="3"/>
    <x v="10"/>
    <x v="1"/>
  </r>
  <r>
    <x v="1861"/>
    <x v="8"/>
    <x v="2"/>
    <x v="289"/>
    <n v="62.099999999999994"/>
    <x v="68"/>
    <x v="74"/>
    <x v="3"/>
    <x v="0"/>
    <x v="2"/>
    <x v="0"/>
    <x v="3"/>
    <x v="1"/>
    <x v="10"/>
    <x v="3"/>
  </r>
  <r>
    <x v="1862"/>
    <x v="12"/>
    <x v="1"/>
    <x v="642"/>
    <n v="94"/>
    <x v="68"/>
    <x v="71"/>
    <x v="1"/>
    <x v="1"/>
    <x v="2"/>
    <x v="0"/>
    <x v="3"/>
    <x v="3"/>
    <x v="10"/>
    <x v="1"/>
  </r>
  <r>
    <x v="1863"/>
    <x v="12"/>
    <x v="2"/>
    <x v="751"/>
    <n v="114.60000000000001"/>
    <x v="68"/>
    <x v="74"/>
    <x v="2"/>
    <x v="2"/>
    <x v="4"/>
    <x v="0"/>
    <x v="3"/>
    <x v="1"/>
    <x v="10"/>
    <x v="2"/>
  </r>
  <r>
    <x v="1864"/>
    <x v="9"/>
    <x v="0"/>
    <x v="644"/>
    <n v="39.1"/>
    <x v="68"/>
    <x v="74"/>
    <x v="2"/>
    <x v="0"/>
    <x v="0"/>
    <x v="0"/>
    <x v="3"/>
    <x v="1"/>
    <x v="10"/>
    <x v="2"/>
  </r>
  <r>
    <x v="1865"/>
    <x v="7"/>
    <x v="30"/>
    <x v="495"/>
    <n v="1390"/>
    <x v="68"/>
    <x v="74"/>
    <x v="1"/>
    <x v="0"/>
    <x v="2"/>
    <x v="0"/>
    <x v="3"/>
    <x v="1"/>
    <x v="10"/>
    <x v="1"/>
  </r>
  <r>
    <x v="1866"/>
    <x v="15"/>
    <x v="0"/>
    <x v="39"/>
    <n v="43.1"/>
    <x v="68"/>
    <x v="65"/>
    <x v="3"/>
    <x v="1"/>
    <x v="2"/>
    <x v="0"/>
    <x v="3"/>
    <x v="7"/>
    <x v="10"/>
    <x v="3"/>
  </r>
  <r>
    <x v="1867"/>
    <x v="6"/>
    <x v="12"/>
    <x v="142"/>
    <n v="192.4"/>
    <x v="68"/>
    <x v="71"/>
    <x v="2"/>
    <x v="4"/>
    <x v="2"/>
    <x v="0"/>
    <x v="3"/>
    <x v="3"/>
    <x v="10"/>
    <x v="2"/>
  </r>
  <r>
    <x v="1868"/>
    <x v="4"/>
    <x v="0"/>
    <x v="300"/>
    <n v="42"/>
    <x v="68"/>
    <x v="71"/>
    <x v="3"/>
    <x v="0"/>
    <x v="0"/>
    <x v="0"/>
    <x v="3"/>
    <x v="3"/>
    <x v="10"/>
    <x v="3"/>
  </r>
  <r>
    <x v="1869"/>
    <x v="8"/>
    <x v="9"/>
    <x v="383"/>
    <n v="91.5"/>
    <x v="68"/>
    <x v="65"/>
    <x v="2"/>
    <x v="2"/>
    <x v="0"/>
    <x v="0"/>
    <x v="3"/>
    <x v="7"/>
    <x v="10"/>
    <x v="2"/>
  </r>
  <r>
    <x v="1870"/>
    <x v="10"/>
    <x v="12"/>
    <x v="299"/>
    <n v="181.2"/>
    <x v="68"/>
    <x v="64"/>
    <x v="2"/>
    <x v="0"/>
    <x v="2"/>
    <x v="0"/>
    <x v="3"/>
    <x v="2"/>
    <x v="10"/>
    <x v="2"/>
  </r>
  <r>
    <x v="1871"/>
    <x v="0"/>
    <x v="1"/>
    <x v="843"/>
    <n v="55.2"/>
    <x v="68"/>
    <x v="74"/>
    <x v="1"/>
    <x v="0"/>
    <x v="2"/>
    <x v="0"/>
    <x v="37"/>
    <x v="1"/>
    <x v="10"/>
    <x v="1"/>
  </r>
  <r>
    <x v="1872"/>
    <x v="4"/>
    <x v="9"/>
    <x v="436"/>
    <n v="134.5"/>
    <x v="68"/>
    <x v="71"/>
    <x v="2"/>
    <x v="2"/>
    <x v="0"/>
    <x v="0"/>
    <x v="25"/>
    <x v="3"/>
    <x v="10"/>
    <x v="2"/>
  </r>
  <r>
    <x v="1873"/>
    <x v="2"/>
    <x v="11"/>
    <x v="844"/>
    <n v="741.6"/>
    <x v="68"/>
    <x v="74"/>
    <x v="3"/>
    <x v="2"/>
    <x v="0"/>
    <x v="0"/>
    <x v="5"/>
    <x v="1"/>
    <x v="10"/>
    <x v="3"/>
  </r>
  <r>
    <x v="1874"/>
    <x v="6"/>
    <x v="0"/>
    <x v="74"/>
    <n v="103.7"/>
    <x v="68"/>
    <x v="74"/>
    <x v="2"/>
    <x v="1"/>
    <x v="0"/>
    <x v="0"/>
    <x v="5"/>
    <x v="1"/>
    <x v="10"/>
    <x v="2"/>
  </r>
  <r>
    <x v="1875"/>
    <x v="2"/>
    <x v="1"/>
    <x v="466"/>
    <n v="117.6"/>
    <x v="68"/>
    <x v="72"/>
    <x v="2"/>
    <x v="1"/>
    <x v="2"/>
    <x v="0"/>
    <x v="6"/>
    <x v="0"/>
    <x v="10"/>
    <x v="2"/>
  </r>
  <r>
    <x v="1876"/>
    <x v="13"/>
    <x v="0"/>
    <x v="217"/>
    <n v="31.5"/>
    <x v="68"/>
    <x v="71"/>
    <x v="2"/>
    <x v="1"/>
    <x v="1"/>
    <x v="0"/>
    <x v="6"/>
    <x v="3"/>
    <x v="10"/>
    <x v="2"/>
  </r>
  <r>
    <x v="1877"/>
    <x v="7"/>
    <x v="9"/>
    <x v="78"/>
    <n v="184"/>
    <x v="68"/>
    <x v="74"/>
    <x v="2"/>
    <x v="0"/>
    <x v="0"/>
    <x v="0"/>
    <x v="8"/>
    <x v="1"/>
    <x v="10"/>
    <x v="2"/>
  </r>
  <r>
    <x v="1878"/>
    <x v="3"/>
    <x v="0"/>
    <x v="845"/>
    <n v="84.4"/>
    <x v="68"/>
    <x v="71"/>
    <x v="2"/>
    <x v="0"/>
    <x v="0"/>
    <x v="0"/>
    <x v="8"/>
    <x v="3"/>
    <x v="10"/>
    <x v="2"/>
  </r>
  <r>
    <x v="1879"/>
    <x v="14"/>
    <x v="0"/>
    <x v="613"/>
    <n v="44.7"/>
    <x v="68"/>
    <x v="71"/>
    <x v="1"/>
    <x v="0"/>
    <x v="1"/>
    <x v="0"/>
    <x v="8"/>
    <x v="3"/>
    <x v="10"/>
    <x v="1"/>
  </r>
  <r>
    <x v="1880"/>
    <x v="9"/>
    <x v="8"/>
    <x v="632"/>
    <n v="315.2"/>
    <x v="68"/>
    <x v="71"/>
    <x v="2"/>
    <x v="1"/>
    <x v="2"/>
    <x v="0"/>
    <x v="8"/>
    <x v="3"/>
    <x v="10"/>
    <x v="2"/>
  </r>
  <r>
    <x v="1881"/>
    <x v="11"/>
    <x v="12"/>
    <x v="271"/>
    <n v="139.6"/>
    <x v="68"/>
    <x v="74"/>
    <x v="2"/>
    <x v="0"/>
    <x v="2"/>
    <x v="0"/>
    <x v="8"/>
    <x v="1"/>
    <x v="10"/>
    <x v="2"/>
  </r>
  <r>
    <x v="1882"/>
    <x v="1"/>
    <x v="2"/>
    <x v="556"/>
    <n v="186.89999999999998"/>
    <x v="68"/>
    <x v="74"/>
    <x v="1"/>
    <x v="4"/>
    <x v="2"/>
    <x v="0"/>
    <x v="8"/>
    <x v="1"/>
    <x v="10"/>
    <x v="1"/>
  </r>
  <r>
    <x v="1883"/>
    <x v="8"/>
    <x v="12"/>
    <x v="438"/>
    <n v="84.4"/>
    <x v="68"/>
    <x v="64"/>
    <x v="1"/>
    <x v="3"/>
    <x v="0"/>
    <x v="0"/>
    <x v="8"/>
    <x v="2"/>
    <x v="10"/>
    <x v="1"/>
  </r>
  <r>
    <x v="1884"/>
    <x v="8"/>
    <x v="2"/>
    <x v="846"/>
    <n v="99.600000000000009"/>
    <x v="68"/>
    <x v="77"/>
    <x v="0"/>
    <x v="0"/>
    <x v="4"/>
    <x v="0"/>
    <x v="8"/>
    <x v="12"/>
    <x v="10"/>
    <x v="0"/>
  </r>
  <r>
    <x v="1885"/>
    <x v="1"/>
    <x v="12"/>
    <x v="417"/>
    <n v="298"/>
    <x v="68"/>
    <x v="71"/>
    <x v="1"/>
    <x v="4"/>
    <x v="0"/>
    <x v="0"/>
    <x v="8"/>
    <x v="3"/>
    <x v="10"/>
    <x v="1"/>
  </r>
  <r>
    <x v="1886"/>
    <x v="10"/>
    <x v="4"/>
    <x v="43"/>
    <n v="823.19999999999993"/>
    <x v="68"/>
    <x v="64"/>
    <x v="2"/>
    <x v="0"/>
    <x v="2"/>
    <x v="0"/>
    <x v="8"/>
    <x v="2"/>
    <x v="10"/>
    <x v="2"/>
  </r>
  <r>
    <x v="1887"/>
    <x v="5"/>
    <x v="21"/>
    <x v="128"/>
    <n v="509.59999999999997"/>
    <x v="68"/>
    <x v="74"/>
    <x v="2"/>
    <x v="0"/>
    <x v="1"/>
    <x v="0"/>
    <x v="9"/>
    <x v="1"/>
    <x v="10"/>
    <x v="2"/>
  </r>
  <r>
    <x v="1888"/>
    <x v="16"/>
    <x v="9"/>
    <x v="212"/>
    <n v="338"/>
    <x v="69"/>
    <x v="67"/>
    <x v="2"/>
    <x v="4"/>
    <x v="1"/>
    <x v="0"/>
    <x v="9"/>
    <x v="2"/>
    <x v="10"/>
    <x v="2"/>
  </r>
  <r>
    <x v="1889"/>
    <x v="15"/>
    <x v="0"/>
    <x v="425"/>
    <n v="46.3"/>
    <x v="69"/>
    <x v="74"/>
    <x v="1"/>
    <x v="2"/>
    <x v="0"/>
    <x v="0"/>
    <x v="9"/>
    <x v="3"/>
    <x v="10"/>
    <x v="1"/>
  </r>
  <r>
    <x v="1890"/>
    <x v="1"/>
    <x v="2"/>
    <x v="847"/>
    <n v="372.6"/>
    <x v="69"/>
    <x v="64"/>
    <x v="2"/>
    <x v="1"/>
    <x v="2"/>
    <x v="0"/>
    <x v="11"/>
    <x v="1"/>
    <x v="10"/>
    <x v="2"/>
  </r>
  <r>
    <x v="1891"/>
    <x v="10"/>
    <x v="1"/>
    <x v="571"/>
    <n v="74"/>
    <x v="69"/>
    <x v="76"/>
    <x v="1"/>
    <x v="0"/>
    <x v="0"/>
    <x v="0"/>
    <x v="11"/>
    <x v="4"/>
    <x v="10"/>
    <x v="1"/>
  </r>
  <r>
    <x v="1892"/>
    <x v="5"/>
    <x v="0"/>
    <x v="80"/>
    <n v="41.8"/>
    <x v="69"/>
    <x v="74"/>
    <x v="1"/>
    <x v="2"/>
    <x v="0"/>
    <x v="0"/>
    <x v="31"/>
    <x v="3"/>
    <x v="10"/>
    <x v="1"/>
  </r>
  <r>
    <x v="1893"/>
    <x v="9"/>
    <x v="1"/>
    <x v="27"/>
    <n v="114.4"/>
    <x v="69"/>
    <x v="64"/>
    <x v="1"/>
    <x v="2"/>
    <x v="1"/>
    <x v="0"/>
    <x v="20"/>
    <x v="1"/>
    <x v="10"/>
    <x v="1"/>
  </r>
  <r>
    <x v="1894"/>
    <x v="6"/>
    <x v="1"/>
    <x v="344"/>
    <n v="94.2"/>
    <x v="69"/>
    <x v="64"/>
    <x v="2"/>
    <x v="0"/>
    <x v="4"/>
    <x v="0"/>
    <x v="20"/>
    <x v="1"/>
    <x v="10"/>
    <x v="2"/>
  </r>
  <r>
    <x v="1895"/>
    <x v="5"/>
    <x v="2"/>
    <x v="154"/>
    <n v="259.20000000000005"/>
    <x v="69"/>
    <x v="74"/>
    <x v="1"/>
    <x v="2"/>
    <x v="1"/>
    <x v="0"/>
    <x v="52"/>
    <x v="3"/>
    <x v="10"/>
    <x v="1"/>
  </r>
  <r>
    <x v="1896"/>
    <x v="6"/>
    <x v="9"/>
    <x v="485"/>
    <n v="525"/>
    <x v="69"/>
    <x v="67"/>
    <x v="1"/>
    <x v="0"/>
    <x v="0"/>
    <x v="0"/>
    <x v="13"/>
    <x v="2"/>
    <x v="10"/>
    <x v="1"/>
  </r>
  <r>
    <x v="1897"/>
    <x v="18"/>
    <x v="0"/>
    <x v="614"/>
    <n v="33"/>
    <x v="69"/>
    <x v="67"/>
    <x v="1"/>
    <x v="4"/>
    <x v="0"/>
    <x v="0"/>
    <x v="21"/>
    <x v="2"/>
    <x v="10"/>
    <x v="1"/>
  </r>
  <r>
    <x v="1898"/>
    <x v="6"/>
    <x v="9"/>
    <x v="649"/>
    <n v="533"/>
    <x v="69"/>
    <x v="77"/>
    <x v="2"/>
    <x v="2"/>
    <x v="0"/>
    <x v="0"/>
    <x v="1"/>
    <x v="10"/>
    <x v="10"/>
    <x v="2"/>
  </r>
  <r>
    <x v="1899"/>
    <x v="10"/>
    <x v="46"/>
    <x v="48"/>
    <n v="857.6"/>
    <x v="69"/>
    <x v="74"/>
    <x v="2"/>
    <x v="2"/>
    <x v="0"/>
    <x v="0"/>
    <x v="1"/>
    <x v="3"/>
    <x v="10"/>
    <x v="2"/>
  </r>
  <r>
    <x v="1900"/>
    <x v="17"/>
    <x v="9"/>
    <x v="136"/>
    <n v="129"/>
    <x v="69"/>
    <x v="71"/>
    <x v="2"/>
    <x v="1"/>
    <x v="2"/>
    <x v="0"/>
    <x v="3"/>
    <x v="7"/>
    <x v="10"/>
    <x v="2"/>
  </r>
  <r>
    <x v="1901"/>
    <x v="2"/>
    <x v="2"/>
    <x v="848"/>
    <n v="651"/>
    <x v="69"/>
    <x v="74"/>
    <x v="2"/>
    <x v="1"/>
    <x v="1"/>
    <x v="0"/>
    <x v="3"/>
    <x v="3"/>
    <x v="10"/>
    <x v="2"/>
  </r>
  <r>
    <x v="1902"/>
    <x v="2"/>
    <x v="1"/>
    <x v="849"/>
    <n v="194.6"/>
    <x v="69"/>
    <x v="74"/>
    <x v="1"/>
    <x v="2"/>
    <x v="4"/>
    <x v="0"/>
    <x v="3"/>
    <x v="3"/>
    <x v="10"/>
    <x v="1"/>
  </r>
  <r>
    <x v="1903"/>
    <x v="1"/>
    <x v="0"/>
    <x v="850"/>
    <n v="49.8"/>
    <x v="69"/>
    <x v="74"/>
    <x v="2"/>
    <x v="0"/>
    <x v="0"/>
    <x v="0"/>
    <x v="3"/>
    <x v="3"/>
    <x v="10"/>
    <x v="2"/>
  </r>
  <r>
    <x v="1904"/>
    <x v="12"/>
    <x v="9"/>
    <x v="101"/>
    <n v="163"/>
    <x v="69"/>
    <x v="74"/>
    <x v="2"/>
    <x v="0"/>
    <x v="0"/>
    <x v="0"/>
    <x v="3"/>
    <x v="3"/>
    <x v="10"/>
    <x v="2"/>
  </r>
  <r>
    <x v="1905"/>
    <x v="9"/>
    <x v="1"/>
    <x v="464"/>
    <n v="80.2"/>
    <x v="69"/>
    <x v="67"/>
    <x v="1"/>
    <x v="1"/>
    <x v="2"/>
    <x v="0"/>
    <x v="3"/>
    <x v="2"/>
    <x v="10"/>
    <x v="1"/>
  </r>
  <r>
    <x v="1906"/>
    <x v="10"/>
    <x v="1"/>
    <x v="183"/>
    <n v="98.8"/>
    <x v="69"/>
    <x v="64"/>
    <x v="1"/>
    <x v="1"/>
    <x v="0"/>
    <x v="0"/>
    <x v="3"/>
    <x v="1"/>
    <x v="10"/>
    <x v="1"/>
  </r>
  <r>
    <x v="1907"/>
    <x v="2"/>
    <x v="0"/>
    <x v="618"/>
    <n v="67.3"/>
    <x v="69"/>
    <x v="74"/>
    <x v="2"/>
    <x v="0"/>
    <x v="2"/>
    <x v="0"/>
    <x v="3"/>
    <x v="3"/>
    <x v="10"/>
    <x v="2"/>
  </r>
  <r>
    <x v="1908"/>
    <x v="18"/>
    <x v="12"/>
    <x v="239"/>
    <n v="178"/>
    <x v="69"/>
    <x v="67"/>
    <x v="0"/>
    <x v="1"/>
    <x v="0"/>
    <x v="0"/>
    <x v="3"/>
    <x v="2"/>
    <x v="10"/>
    <x v="0"/>
  </r>
  <r>
    <x v="1909"/>
    <x v="6"/>
    <x v="5"/>
    <x v="851"/>
    <n v="1222.0999999999999"/>
    <x v="69"/>
    <x v="74"/>
    <x v="2"/>
    <x v="4"/>
    <x v="0"/>
    <x v="0"/>
    <x v="3"/>
    <x v="3"/>
    <x v="10"/>
    <x v="2"/>
  </r>
  <r>
    <x v="1910"/>
    <x v="8"/>
    <x v="2"/>
    <x v="478"/>
    <n v="59.099999999999994"/>
    <x v="69"/>
    <x v="74"/>
    <x v="2"/>
    <x v="4"/>
    <x v="4"/>
    <x v="0"/>
    <x v="3"/>
    <x v="3"/>
    <x v="10"/>
    <x v="2"/>
  </r>
  <r>
    <x v="1911"/>
    <x v="1"/>
    <x v="0"/>
    <x v="7"/>
    <n v="40.299999999999997"/>
    <x v="69"/>
    <x v="74"/>
    <x v="3"/>
    <x v="1"/>
    <x v="0"/>
    <x v="0"/>
    <x v="3"/>
    <x v="3"/>
    <x v="10"/>
    <x v="3"/>
  </r>
  <r>
    <x v="1912"/>
    <x v="6"/>
    <x v="1"/>
    <x v="586"/>
    <n v="217.6"/>
    <x v="69"/>
    <x v="69"/>
    <x v="1"/>
    <x v="0"/>
    <x v="2"/>
    <x v="0"/>
    <x v="6"/>
    <x v="0"/>
    <x v="10"/>
    <x v="1"/>
  </r>
  <r>
    <x v="1913"/>
    <x v="8"/>
    <x v="2"/>
    <x v="297"/>
    <n v="144.60000000000002"/>
    <x v="69"/>
    <x v="69"/>
    <x v="2"/>
    <x v="4"/>
    <x v="0"/>
    <x v="0"/>
    <x v="7"/>
    <x v="0"/>
    <x v="10"/>
    <x v="2"/>
  </r>
  <r>
    <x v="1914"/>
    <x v="2"/>
    <x v="2"/>
    <x v="852"/>
    <n v="314.10000000000002"/>
    <x v="69"/>
    <x v="64"/>
    <x v="2"/>
    <x v="0"/>
    <x v="1"/>
    <x v="0"/>
    <x v="7"/>
    <x v="1"/>
    <x v="10"/>
    <x v="2"/>
  </r>
  <r>
    <x v="1915"/>
    <x v="1"/>
    <x v="1"/>
    <x v="853"/>
    <n v="161.19999999999999"/>
    <x v="69"/>
    <x v="71"/>
    <x v="2"/>
    <x v="1"/>
    <x v="0"/>
    <x v="0"/>
    <x v="8"/>
    <x v="7"/>
    <x v="10"/>
    <x v="2"/>
  </r>
  <r>
    <x v="1916"/>
    <x v="6"/>
    <x v="0"/>
    <x v="313"/>
    <n v="65.5"/>
    <x v="69"/>
    <x v="64"/>
    <x v="3"/>
    <x v="1"/>
    <x v="0"/>
    <x v="0"/>
    <x v="8"/>
    <x v="1"/>
    <x v="10"/>
    <x v="3"/>
  </r>
  <r>
    <x v="1917"/>
    <x v="9"/>
    <x v="2"/>
    <x v="854"/>
    <n v="184.2"/>
    <x v="69"/>
    <x v="64"/>
    <x v="2"/>
    <x v="4"/>
    <x v="2"/>
    <x v="0"/>
    <x v="8"/>
    <x v="1"/>
    <x v="10"/>
    <x v="2"/>
  </r>
  <r>
    <x v="1918"/>
    <x v="0"/>
    <x v="0"/>
    <x v="150"/>
    <n v="12.5"/>
    <x v="70"/>
    <x v="72"/>
    <x v="2"/>
    <x v="0"/>
    <x v="1"/>
    <x v="0"/>
    <x v="8"/>
    <x v="2"/>
    <x v="10"/>
    <x v="2"/>
  </r>
  <r>
    <x v="1919"/>
    <x v="4"/>
    <x v="12"/>
    <x v="334"/>
    <n v="140.4"/>
    <x v="70"/>
    <x v="64"/>
    <x v="1"/>
    <x v="2"/>
    <x v="1"/>
    <x v="0"/>
    <x v="17"/>
    <x v="3"/>
    <x v="10"/>
    <x v="1"/>
  </r>
  <r>
    <x v="1920"/>
    <x v="5"/>
    <x v="1"/>
    <x v="740"/>
    <n v="111.4"/>
    <x v="70"/>
    <x v="64"/>
    <x v="1"/>
    <x v="0"/>
    <x v="1"/>
    <x v="0"/>
    <x v="26"/>
    <x v="3"/>
    <x v="10"/>
    <x v="1"/>
  </r>
  <r>
    <x v="1921"/>
    <x v="7"/>
    <x v="1"/>
    <x v="461"/>
    <n v="115.4"/>
    <x v="70"/>
    <x v="67"/>
    <x v="1"/>
    <x v="4"/>
    <x v="1"/>
    <x v="0"/>
    <x v="9"/>
    <x v="1"/>
    <x v="10"/>
    <x v="1"/>
  </r>
  <r>
    <x v="1922"/>
    <x v="2"/>
    <x v="13"/>
    <x v="753"/>
    <n v="514.20000000000005"/>
    <x v="70"/>
    <x v="64"/>
    <x v="1"/>
    <x v="3"/>
    <x v="2"/>
    <x v="0"/>
    <x v="9"/>
    <x v="3"/>
    <x v="10"/>
    <x v="1"/>
  </r>
  <r>
    <x v="1923"/>
    <x v="2"/>
    <x v="2"/>
    <x v="724"/>
    <n v="260.70000000000005"/>
    <x v="70"/>
    <x v="67"/>
    <x v="2"/>
    <x v="1"/>
    <x v="0"/>
    <x v="0"/>
    <x v="11"/>
    <x v="1"/>
    <x v="10"/>
    <x v="2"/>
  </r>
  <r>
    <x v="1924"/>
    <x v="18"/>
    <x v="1"/>
    <x v="340"/>
    <n v="92.8"/>
    <x v="70"/>
    <x v="72"/>
    <x v="2"/>
    <x v="4"/>
    <x v="0"/>
    <x v="0"/>
    <x v="11"/>
    <x v="2"/>
    <x v="10"/>
    <x v="2"/>
  </r>
  <r>
    <x v="1925"/>
    <x v="5"/>
    <x v="2"/>
    <x v="855"/>
    <n v="76.199999999999989"/>
    <x v="70"/>
    <x v="74"/>
    <x v="2"/>
    <x v="2"/>
    <x v="2"/>
    <x v="0"/>
    <x v="18"/>
    <x v="7"/>
    <x v="10"/>
    <x v="2"/>
  </r>
  <r>
    <x v="1926"/>
    <x v="10"/>
    <x v="2"/>
    <x v="134"/>
    <n v="143.39999999999998"/>
    <x v="70"/>
    <x v="74"/>
    <x v="0"/>
    <x v="2"/>
    <x v="2"/>
    <x v="0"/>
    <x v="19"/>
    <x v="7"/>
    <x v="10"/>
    <x v="0"/>
  </r>
  <r>
    <x v="1927"/>
    <x v="8"/>
    <x v="10"/>
    <x v="856"/>
    <n v="349.59999999999997"/>
    <x v="70"/>
    <x v="67"/>
    <x v="3"/>
    <x v="2"/>
    <x v="0"/>
    <x v="0"/>
    <x v="20"/>
    <x v="1"/>
    <x v="10"/>
    <x v="3"/>
  </r>
  <r>
    <x v="1928"/>
    <x v="12"/>
    <x v="2"/>
    <x v="313"/>
    <n v="196.5"/>
    <x v="70"/>
    <x v="78"/>
    <x v="2"/>
    <x v="0"/>
    <x v="0"/>
    <x v="0"/>
    <x v="21"/>
    <x v="9"/>
    <x v="10"/>
    <x v="2"/>
  </r>
  <r>
    <x v="1929"/>
    <x v="10"/>
    <x v="1"/>
    <x v="79"/>
    <n v="101.2"/>
    <x v="70"/>
    <x v="72"/>
    <x v="1"/>
    <x v="2"/>
    <x v="4"/>
    <x v="0"/>
    <x v="21"/>
    <x v="2"/>
    <x v="10"/>
    <x v="1"/>
  </r>
  <r>
    <x v="1930"/>
    <x v="3"/>
    <x v="9"/>
    <x v="192"/>
    <n v="345"/>
    <x v="70"/>
    <x v="69"/>
    <x v="1"/>
    <x v="3"/>
    <x v="0"/>
    <x v="0"/>
    <x v="21"/>
    <x v="5"/>
    <x v="10"/>
    <x v="1"/>
  </r>
  <r>
    <x v="1931"/>
    <x v="9"/>
    <x v="8"/>
    <x v="18"/>
    <n v="408.8"/>
    <x v="70"/>
    <x v="67"/>
    <x v="2"/>
    <x v="0"/>
    <x v="0"/>
    <x v="0"/>
    <x v="1"/>
    <x v="1"/>
    <x v="10"/>
    <x v="2"/>
  </r>
  <r>
    <x v="1932"/>
    <x v="9"/>
    <x v="0"/>
    <x v="160"/>
    <n v="36.1"/>
    <x v="70"/>
    <x v="64"/>
    <x v="2"/>
    <x v="0"/>
    <x v="2"/>
    <x v="0"/>
    <x v="34"/>
    <x v="3"/>
    <x v="10"/>
    <x v="2"/>
  </r>
  <r>
    <x v="1933"/>
    <x v="14"/>
    <x v="0"/>
    <x v="585"/>
    <n v="18.7"/>
    <x v="70"/>
    <x v="64"/>
    <x v="1"/>
    <x v="0"/>
    <x v="0"/>
    <x v="0"/>
    <x v="3"/>
    <x v="3"/>
    <x v="10"/>
    <x v="1"/>
  </r>
  <r>
    <x v="1934"/>
    <x v="17"/>
    <x v="0"/>
    <x v="90"/>
    <n v="30.1"/>
    <x v="70"/>
    <x v="72"/>
    <x v="2"/>
    <x v="3"/>
    <x v="1"/>
    <x v="0"/>
    <x v="3"/>
    <x v="2"/>
    <x v="10"/>
    <x v="2"/>
  </r>
  <r>
    <x v="1935"/>
    <x v="8"/>
    <x v="0"/>
    <x v="857"/>
    <n v="16.3"/>
    <x v="70"/>
    <x v="64"/>
    <x v="1"/>
    <x v="3"/>
    <x v="0"/>
    <x v="0"/>
    <x v="3"/>
    <x v="3"/>
    <x v="10"/>
    <x v="1"/>
  </r>
  <r>
    <x v="1936"/>
    <x v="1"/>
    <x v="2"/>
    <x v="259"/>
    <n v="191.39999999999998"/>
    <x v="70"/>
    <x v="76"/>
    <x v="2"/>
    <x v="2"/>
    <x v="1"/>
    <x v="0"/>
    <x v="3"/>
    <x v="0"/>
    <x v="10"/>
    <x v="2"/>
  </r>
  <r>
    <x v="1937"/>
    <x v="1"/>
    <x v="3"/>
    <x v="858"/>
    <n v="517.30000000000007"/>
    <x v="70"/>
    <x v="74"/>
    <x v="2"/>
    <x v="0"/>
    <x v="1"/>
    <x v="0"/>
    <x v="3"/>
    <x v="7"/>
    <x v="10"/>
    <x v="2"/>
  </r>
  <r>
    <x v="1938"/>
    <x v="0"/>
    <x v="1"/>
    <x v="736"/>
    <n v="40.4"/>
    <x v="70"/>
    <x v="64"/>
    <x v="1"/>
    <x v="0"/>
    <x v="1"/>
    <x v="0"/>
    <x v="3"/>
    <x v="3"/>
    <x v="10"/>
    <x v="1"/>
  </r>
  <r>
    <x v="1939"/>
    <x v="11"/>
    <x v="5"/>
    <x v="669"/>
    <n v="324.5"/>
    <x v="70"/>
    <x v="64"/>
    <x v="1"/>
    <x v="0"/>
    <x v="0"/>
    <x v="0"/>
    <x v="3"/>
    <x v="3"/>
    <x v="10"/>
    <x v="1"/>
  </r>
  <r>
    <x v="1940"/>
    <x v="15"/>
    <x v="3"/>
    <x v="430"/>
    <n v="265.3"/>
    <x v="70"/>
    <x v="64"/>
    <x v="1"/>
    <x v="1"/>
    <x v="0"/>
    <x v="0"/>
    <x v="3"/>
    <x v="3"/>
    <x v="10"/>
    <x v="1"/>
  </r>
  <r>
    <x v="1941"/>
    <x v="2"/>
    <x v="0"/>
    <x v="448"/>
    <n v="56.5"/>
    <x v="70"/>
    <x v="64"/>
    <x v="2"/>
    <x v="2"/>
    <x v="1"/>
    <x v="0"/>
    <x v="3"/>
    <x v="3"/>
    <x v="10"/>
    <x v="2"/>
  </r>
  <r>
    <x v="1942"/>
    <x v="2"/>
    <x v="1"/>
    <x v="668"/>
    <n v="133.80000000000001"/>
    <x v="70"/>
    <x v="73"/>
    <x v="1"/>
    <x v="1"/>
    <x v="4"/>
    <x v="0"/>
    <x v="25"/>
    <x v="4"/>
    <x v="10"/>
    <x v="1"/>
  </r>
  <r>
    <x v="1943"/>
    <x v="2"/>
    <x v="9"/>
    <x v="424"/>
    <n v="259.5"/>
    <x v="70"/>
    <x v="72"/>
    <x v="1"/>
    <x v="1"/>
    <x v="0"/>
    <x v="0"/>
    <x v="7"/>
    <x v="2"/>
    <x v="10"/>
    <x v="1"/>
  </r>
  <r>
    <x v="1944"/>
    <x v="2"/>
    <x v="1"/>
    <x v="859"/>
    <n v="151.19999999999999"/>
    <x v="70"/>
    <x v="72"/>
    <x v="1"/>
    <x v="1"/>
    <x v="0"/>
    <x v="0"/>
    <x v="8"/>
    <x v="2"/>
    <x v="10"/>
    <x v="1"/>
  </r>
  <r>
    <x v="1945"/>
    <x v="12"/>
    <x v="13"/>
    <x v="219"/>
    <n v="283.79999999999995"/>
    <x v="70"/>
    <x v="79"/>
    <x v="1"/>
    <x v="0"/>
    <x v="0"/>
    <x v="0"/>
    <x v="8"/>
    <x v="11"/>
    <x v="10"/>
    <x v="1"/>
  </r>
  <r>
    <x v="1946"/>
    <x v="4"/>
    <x v="0"/>
    <x v="468"/>
    <n v="20.6"/>
    <x v="70"/>
    <x v="64"/>
    <x v="0"/>
    <x v="0"/>
    <x v="1"/>
    <x v="0"/>
    <x v="8"/>
    <x v="3"/>
    <x v="10"/>
    <x v="0"/>
  </r>
  <r>
    <x v="1947"/>
    <x v="6"/>
    <x v="2"/>
    <x v="235"/>
    <n v="149.10000000000002"/>
    <x v="70"/>
    <x v="67"/>
    <x v="1"/>
    <x v="0"/>
    <x v="1"/>
    <x v="0"/>
    <x v="8"/>
    <x v="1"/>
    <x v="10"/>
    <x v="1"/>
  </r>
  <r>
    <x v="1948"/>
    <x v="3"/>
    <x v="0"/>
    <x v="430"/>
    <n v="37.9"/>
    <x v="70"/>
    <x v="67"/>
    <x v="2"/>
    <x v="0"/>
    <x v="0"/>
    <x v="0"/>
    <x v="8"/>
    <x v="1"/>
    <x v="10"/>
    <x v="2"/>
  </r>
  <r>
    <x v="1949"/>
    <x v="13"/>
    <x v="20"/>
    <x v="34"/>
    <n v="480"/>
    <x v="70"/>
    <x v="67"/>
    <x v="2"/>
    <x v="4"/>
    <x v="0"/>
    <x v="0"/>
    <x v="11"/>
    <x v="1"/>
    <x v="10"/>
    <x v="2"/>
  </r>
  <r>
    <x v="1950"/>
    <x v="10"/>
    <x v="16"/>
    <x v="153"/>
    <n v="693"/>
    <x v="71"/>
    <x v="67"/>
    <x v="1"/>
    <x v="0"/>
    <x v="2"/>
    <x v="0"/>
    <x v="11"/>
    <x v="3"/>
    <x v="10"/>
    <x v="1"/>
  </r>
  <r>
    <x v="1951"/>
    <x v="0"/>
    <x v="12"/>
    <x v="860"/>
    <n v="46.8"/>
    <x v="71"/>
    <x v="72"/>
    <x v="2"/>
    <x v="1"/>
    <x v="0"/>
    <x v="0"/>
    <x v="20"/>
    <x v="1"/>
    <x v="10"/>
    <x v="2"/>
  </r>
  <r>
    <x v="1952"/>
    <x v="3"/>
    <x v="13"/>
    <x v="861"/>
    <n v="502.79999999999995"/>
    <x v="71"/>
    <x v="67"/>
    <x v="1"/>
    <x v="0"/>
    <x v="0"/>
    <x v="0"/>
    <x v="21"/>
    <x v="3"/>
    <x v="10"/>
    <x v="1"/>
  </r>
  <r>
    <x v="1953"/>
    <x v="0"/>
    <x v="3"/>
    <x v="862"/>
    <n v="98"/>
    <x v="71"/>
    <x v="69"/>
    <x v="1"/>
    <x v="0"/>
    <x v="1"/>
    <x v="0"/>
    <x v="22"/>
    <x v="2"/>
    <x v="10"/>
    <x v="1"/>
  </r>
  <r>
    <x v="1954"/>
    <x v="16"/>
    <x v="12"/>
    <x v="81"/>
    <n v="309.2"/>
    <x v="71"/>
    <x v="72"/>
    <x v="2"/>
    <x v="4"/>
    <x v="2"/>
    <x v="0"/>
    <x v="3"/>
    <x v="1"/>
    <x v="10"/>
    <x v="2"/>
  </r>
  <r>
    <x v="1955"/>
    <x v="2"/>
    <x v="1"/>
    <x v="863"/>
    <n v="153.80000000000001"/>
    <x v="71"/>
    <x v="76"/>
    <x v="2"/>
    <x v="0"/>
    <x v="1"/>
    <x v="0"/>
    <x v="3"/>
    <x v="5"/>
    <x v="10"/>
    <x v="2"/>
  </r>
  <r>
    <x v="1956"/>
    <x v="1"/>
    <x v="0"/>
    <x v="196"/>
    <n v="48"/>
    <x v="71"/>
    <x v="72"/>
    <x v="2"/>
    <x v="1"/>
    <x v="2"/>
    <x v="0"/>
    <x v="3"/>
    <x v="1"/>
    <x v="10"/>
    <x v="2"/>
  </r>
  <r>
    <x v="1957"/>
    <x v="2"/>
    <x v="0"/>
    <x v="864"/>
    <n v="94.5"/>
    <x v="71"/>
    <x v="69"/>
    <x v="1"/>
    <x v="1"/>
    <x v="1"/>
    <x v="0"/>
    <x v="3"/>
    <x v="2"/>
    <x v="10"/>
    <x v="1"/>
  </r>
  <r>
    <x v="1958"/>
    <x v="10"/>
    <x v="2"/>
    <x v="277"/>
    <n v="175.2"/>
    <x v="71"/>
    <x v="72"/>
    <x v="2"/>
    <x v="1"/>
    <x v="2"/>
    <x v="0"/>
    <x v="3"/>
    <x v="1"/>
    <x v="10"/>
    <x v="2"/>
  </r>
  <r>
    <x v="1959"/>
    <x v="7"/>
    <x v="15"/>
    <x v="567"/>
    <n v="548.6"/>
    <x v="71"/>
    <x v="64"/>
    <x v="1"/>
    <x v="0"/>
    <x v="0"/>
    <x v="0"/>
    <x v="25"/>
    <x v="7"/>
    <x v="10"/>
    <x v="1"/>
  </r>
  <r>
    <x v="1960"/>
    <x v="6"/>
    <x v="1"/>
    <x v="865"/>
    <n v="304.39999999999998"/>
    <x v="71"/>
    <x v="67"/>
    <x v="1"/>
    <x v="4"/>
    <x v="1"/>
    <x v="0"/>
    <x v="25"/>
    <x v="3"/>
    <x v="10"/>
    <x v="1"/>
  </r>
  <r>
    <x v="1961"/>
    <x v="6"/>
    <x v="25"/>
    <x v="866"/>
    <n v="1728"/>
    <x v="71"/>
    <x v="67"/>
    <x v="1"/>
    <x v="0"/>
    <x v="1"/>
    <x v="0"/>
    <x v="6"/>
    <x v="3"/>
    <x v="10"/>
    <x v="1"/>
  </r>
  <r>
    <x v="1962"/>
    <x v="1"/>
    <x v="44"/>
    <x v="45"/>
    <n v="1630.7"/>
    <x v="71"/>
    <x v="67"/>
    <x v="2"/>
    <x v="2"/>
    <x v="0"/>
    <x v="0"/>
    <x v="8"/>
    <x v="3"/>
    <x v="10"/>
    <x v="2"/>
  </r>
  <r>
    <x v="1963"/>
    <x v="2"/>
    <x v="1"/>
    <x v="526"/>
    <n v="107.4"/>
    <x v="71"/>
    <x v="67"/>
    <x v="1"/>
    <x v="2"/>
    <x v="2"/>
    <x v="0"/>
    <x v="8"/>
    <x v="3"/>
    <x v="10"/>
    <x v="1"/>
  </r>
  <r>
    <x v="1964"/>
    <x v="9"/>
    <x v="12"/>
    <x v="429"/>
    <n v="171.6"/>
    <x v="71"/>
    <x v="67"/>
    <x v="2"/>
    <x v="2"/>
    <x v="4"/>
    <x v="0"/>
    <x v="9"/>
    <x v="3"/>
    <x v="10"/>
    <x v="2"/>
  </r>
  <r>
    <x v="1965"/>
    <x v="2"/>
    <x v="3"/>
    <x v="867"/>
    <n v="752.5"/>
    <x v="71"/>
    <x v="67"/>
    <x v="1"/>
    <x v="1"/>
    <x v="0"/>
    <x v="0"/>
    <x v="11"/>
    <x v="3"/>
    <x v="10"/>
    <x v="1"/>
  </r>
  <r>
    <x v="1966"/>
    <x v="17"/>
    <x v="27"/>
    <x v="332"/>
    <n v="344"/>
    <x v="71"/>
    <x v="67"/>
    <x v="1"/>
    <x v="1"/>
    <x v="1"/>
    <x v="0"/>
    <x v="32"/>
    <x v="3"/>
    <x v="10"/>
    <x v="1"/>
  </r>
  <r>
    <x v="1967"/>
    <x v="3"/>
    <x v="9"/>
    <x v="602"/>
    <n v="426.5"/>
    <x v="71"/>
    <x v="72"/>
    <x v="2"/>
    <x v="3"/>
    <x v="0"/>
    <x v="0"/>
    <x v="18"/>
    <x v="1"/>
    <x v="10"/>
    <x v="2"/>
  </r>
  <r>
    <x v="1968"/>
    <x v="7"/>
    <x v="9"/>
    <x v="827"/>
    <n v="404"/>
    <x v="71"/>
    <x v="75"/>
    <x v="3"/>
    <x v="1"/>
    <x v="1"/>
    <x v="0"/>
    <x v="19"/>
    <x v="9"/>
    <x v="10"/>
    <x v="3"/>
  </r>
  <r>
    <x v="1969"/>
    <x v="2"/>
    <x v="2"/>
    <x v="868"/>
    <n v="369.29999999999995"/>
    <x v="71"/>
    <x v="72"/>
    <x v="0"/>
    <x v="2"/>
    <x v="0"/>
    <x v="0"/>
    <x v="21"/>
    <x v="1"/>
    <x v="10"/>
    <x v="0"/>
  </r>
  <r>
    <x v="1970"/>
    <x v="8"/>
    <x v="1"/>
    <x v="711"/>
    <n v="73.8"/>
    <x v="71"/>
    <x v="72"/>
    <x v="2"/>
    <x v="2"/>
    <x v="4"/>
    <x v="0"/>
    <x v="51"/>
    <x v="1"/>
    <x v="10"/>
    <x v="2"/>
  </r>
  <r>
    <x v="1971"/>
    <x v="11"/>
    <x v="9"/>
    <x v="152"/>
    <n v="200"/>
    <x v="71"/>
    <x v="67"/>
    <x v="1"/>
    <x v="0"/>
    <x v="0"/>
    <x v="0"/>
    <x v="1"/>
    <x v="3"/>
    <x v="10"/>
    <x v="1"/>
  </r>
  <r>
    <x v="1972"/>
    <x v="6"/>
    <x v="2"/>
    <x v="572"/>
    <n v="166.5"/>
    <x v="71"/>
    <x v="67"/>
    <x v="1"/>
    <x v="4"/>
    <x v="2"/>
    <x v="0"/>
    <x v="1"/>
    <x v="3"/>
    <x v="10"/>
    <x v="1"/>
  </r>
  <r>
    <x v="1973"/>
    <x v="0"/>
    <x v="12"/>
    <x v="580"/>
    <n v="82"/>
    <x v="71"/>
    <x v="76"/>
    <x v="2"/>
    <x v="4"/>
    <x v="0"/>
    <x v="0"/>
    <x v="1"/>
    <x v="5"/>
    <x v="10"/>
    <x v="2"/>
  </r>
  <r>
    <x v="1974"/>
    <x v="18"/>
    <x v="12"/>
    <x v="869"/>
    <n v="200.4"/>
    <x v="71"/>
    <x v="67"/>
    <x v="2"/>
    <x v="4"/>
    <x v="0"/>
    <x v="0"/>
    <x v="1"/>
    <x v="3"/>
    <x v="10"/>
    <x v="2"/>
  </r>
  <r>
    <x v="1975"/>
    <x v="9"/>
    <x v="0"/>
    <x v="275"/>
    <n v="35.9"/>
    <x v="71"/>
    <x v="72"/>
    <x v="1"/>
    <x v="1"/>
    <x v="2"/>
    <x v="0"/>
    <x v="1"/>
    <x v="1"/>
    <x v="10"/>
    <x v="1"/>
  </r>
  <r>
    <x v="1976"/>
    <x v="13"/>
    <x v="12"/>
    <x v="647"/>
    <n v="117.6"/>
    <x v="72"/>
    <x v="72"/>
    <x v="1"/>
    <x v="2"/>
    <x v="2"/>
    <x v="0"/>
    <x v="33"/>
    <x v="3"/>
    <x v="10"/>
    <x v="1"/>
  </r>
  <r>
    <x v="1977"/>
    <x v="8"/>
    <x v="9"/>
    <x v="581"/>
    <n v="145.5"/>
    <x v="72"/>
    <x v="80"/>
    <x v="3"/>
    <x v="2"/>
    <x v="1"/>
    <x v="0"/>
    <x v="33"/>
    <x v="9"/>
    <x v="10"/>
    <x v="3"/>
  </r>
  <r>
    <x v="1978"/>
    <x v="8"/>
    <x v="2"/>
    <x v="232"/>
    <n v="100.5"/>
    <x v="72"/>
    <x v="81"/>
    <x v="1"/>
    <x v="0"/>
    <x v="2"/>
    <x v="0"/>
    <x v="22"/>
    <x v="13"/>
    <x v="10"/>
    <x v="1"/>
  </r>
  <r>
    <x v="1979"/>
    <x v="4"/>
    <x v="7"/>
    <x v="307"/>
    <n v="360"/>
    <x v="72"/>
    <x v="67"/>
    <x v="1"/>
    <x v="3"/>
    <x v="2"/>
    <x v="0"/>
    <x v="3"/>
    <x v="7"/>
    <x v="10"/>
    <x v="1"/>
  </r>
  <r>
    <x v="1980"/>
    <x v="16"/>
    <x v="2"/>
    <x v="405"/>
    <n v="171.89999999999998"/>
    <x v="72"/>
    <x v="73"/>
    <x v="2"/>
    <x v="0"/>
    <x v="2"/>
    <x v="0"/>
    <x v="3"/>
    <x v="5"/>
    <x v="10"/>
    <x v="2"/>
  </r>
  <r>
    <x v="1981"/>
    <x v="1"/>
    <x v="0"/>
    <x v="870"/>
    <n v="81.400000000000006"/>
    <x v="72"/>
    <x v="72"/>
    <x v="2"/>
    <x v="2"/>
    <x v="2"/>
    <x v="0"/>
    <x v="3"/>
    <x v="3"/>
    <x v="10"/>
    <x v="2"/>
  </r>
  <r>
    <x v="1982"/>
    <x v="10"/>
    <x v="1"/>
    <x v="341"/>
    <n v="70.599999999999994"/>
    <x v="72"/>
    <x v="73"/>
    <x v="1"/>
    <x v="0"/>
    <x v="2"/>
    <x v="0"/>
    <x v="3"/>
    <x v="5"/>
    <x v="10"/>
    <x v="1"/>
  </r>
  <r>
    <x v="1983"/>
    <x v="3"/>
    <x v="0"/>
    <x v="160"/>
    <n v="36.1"/>
    <x v="72"/>
    <x v="72"/>
    <x v="2"/>
    <x v="4"/>
    <x v="0"/>
    <x v="0"/>
    <x v="3"/>
    <x v="3"/>
    <x v="10"/>
    <x v="2"/>
  </r>
  <r>
    <x v="1984"/>
    <x v="1"/>
    <x v="1"/>
    <x v="294"/>
    <n v="73.400000000000006"/>
    <x v="72"/>
    <x v="69"/>
    <x v="2"/>
    <x v="0"/>
    <x v="2"/>
    <x v="0"/>
    <x v="3"/>
    <x v="1"/>
    <x v="10"/>
    <x v="2"/>
  </r>
  <r>
    <x v="1985"/>
    <x v="10"/>
    <x v="0"/>
    <x v="588"/>
    <n v="20.9"/>
    <x v="72"/>
    <x v="69"/>
    <x v="2"/>
    <x v="0"/>
    <x v="4"/>
    <x v="0"/>
    <x v="3"/>
    <x v="1"/>
    <x v="10"/>
    <x v="2"/>
  </r>
  <r>
    <x v="1986"/>
    <x v="12"/>
    <x v="2"/>
    <x v="466"/>
    <n v="176.39999999999998"/>
    <x v="72"/>
    <x v="73"/>
    <x v="1"/>
    <x v="0"/>
    <x v="2"/>
    <x v="0"/>
    <x v="25"/>
    <x v="5"/>
    <x v="10"/>
    <x v="1"/>
  </r>
  <r>
    <x v="1987"/>
    <x v="2"/>
    <x v="2"/>
    <x v="871"/>
    <n v="292.79999999999995"/>
    <x v="73"/>
    <x v="76"/>
    <x v="0"/>
    <x v="0"/>
    <x v="0"/>
    <x v="0"/>
    <x v="6"/>
    <x v="1"/>
    <x v="10"/>
    <x v="0"/>
  </r>
  <r>
    <x v="1988"/>
    <x v="1"/>
    <x v="1"/>
    <x v="785"/>
    <n v="117.4"/>
    <x v="73"/>
    <x v="73"/>
    <x v="2"/>
    <x v="0"/>
    <x v="1"/>
    <x v="0"/>
    <x v="6"/>
    <x v="2"/>
    <x v="10"/>
    <x v="2"/>
  </r>
  <r>
    <x v="1989"/>
    <x v="6"/>
    <x v="9"/>
    <x v="774"/>
    <n v="359.5"/>
    <x v="73"/>
    <x v="69"/>
    <x v="0"/>
    <x v="0"/>
    <x v="1"/>
    <x v="0"/>
    <x v="6"/>
    <x v="3"/>
    <x v="10"/>
    <x v="0"/>
  </r>
  <r>
    <x v="1990"/>
    <x v="1"/>
    <x v="1"/>
    <x v="470"/>
    <n v="124.8"/>
    <x v="73"/>
    <x v="76"/>
    <x v="0"/>
    <x v="0"/>
    <x v="1"/>
    <x v="0"/>
    <x v="8"/>
    <x v="1"/>
    <x v="10"/>
    <x v="0"/>
  </r>
  <r>
    <x v="1991"/>
    <x v="6"/>
    <x v="27"/>
    <x v="589"/>
    <n v="860.8"/>
    <x v="73"/>
    <x v="69"/>
    <x v="2"/>
    <x v="1"/>
    <x v="0"/>
    <x v="0"/>
    <x v="8"/>
    <x v="3"/>
    <x v="10"/>
    <x v="2"/>
  </r>
  <r>
    <x v="1992"/>
    <x v="9"/>
    <x v="0"/>
    <x v="20"/>
    <n v="43.8"/>
    <x v="73"/>
    <x v="80"/>
    <x v="2"/>
    <x v="0"/>
    <x v="2"/>
    <x v="0"/>
    <x v="8"/>
    <x v="6"/>
    <x v="10"/>
    <x v="2"/>
  </r>
  <r>
    <x v="1993"/>
    <x v="5"/>
    <x v="2"/>
    <x v="582"/>
    <n v="160.80000000000001"/>
    <x v="73"/>
    <x v="69"/>
    <x v="1"/>
    <x v="3"/>
    <x v="0"/>
    <x v="0"/>
    <x v="8"/>
    <x v="3"/>
    <x v="10"/>
    <x v="1"/>
  </r>
  <r>
    <x v="1994"/>
    <x v="12"/>
    <x v="1"/>
    <x v="872"/>
    <n v="168.6"/>
    <x v="73"/>
    <x v="73"/>
    <x v="1"/>
    <x v="4"/>
    <x v="1"/>
    <x v="0"/>
    <x v="8"/>
    <x v="2"/>
    <x v="10"/>
    <x v="1"/>
  </r>
  <r>
    <x v="1995"/>
    <x v="6"/>
    <x v="11"/>
    <x v="873"/>
    <n v="1061.1000000000001"/>
    <x v="73"/>
    <x v="69"/>
    <x v="2"/>
    <x v="1"/>
    <x v="2"/>
    <x v="0"/>
    <x v="8"/>
    <x v="3"/>
    <x v="10"/>
    <x v="2"/>
  </r>
  <r>
    <x v="1996"/>
    <x v="4"/>
    <x v="8"/>
    <x v="500"/>
    <n v="240"/>
    <x v="73"/>
    <x v="69"/>
    <x v="2"/>
    <x v="1"/>
    <x v="0"/>
    <x v="0"/>
    <x v="26"/>
    <x v="3"/>
    <x v="10"/>
    <x v="2"/>
  </r>
  <r>
    <x v="1997"/>
    <x v="14"/>
    <x v="2"/>
    <x v="105"/>
    <n v="111.89999999999999"/>
    <x v="73"/>
    <x v="69"/>
    <x v="1"/>
    <x v="2"/>
    <x v="0"/>
    <x v="0"/>
    <x v="9"/>
    <x v="3"/>
    <x v="10"/>
    <x v="1"/>
  </r>
  <r>
    <x v="1998"/>
    <x v="4"/>
    <x v="11"/>
    <x v="403"/>
    <n v="225.9"/>
    <x v="73"/>
    <x v="76"/>
    <x v="1"/>
    <x v="1"/>
    <x v="2"/>
    <x v="0"/>
    <x v="11"/>
    <x v="1"/>
    <x v="10"/>
    <x v="1"/>
  </r>
  <r>
    <x v="1999"/>
    <x v="8"/>
    <x v="5"/>
    <x v="307"/>
    <n v="396"/>
    <x v="73"/>
    <x v="82"/>
    <x v="1"/>
    <x v="1"/>
    <x v="0"/>
    <x v="0"/>
    <x v="18"/>
    <x v="14"/>
    <x v="10"/>
    <x v="1"/>
  </r>
  <r>
    <x v="2000"/>
    <x v="16"/>
    <x v="2"/>
    <x v="286"/>
    <n v="145.5"/>
    <x v="73"/>
    <x v="83"/>
    <x v="2"/>
    <x v="1"/>
    <x v="0"/>
    <x v="0"/>
    <x v="19"/>
    <x v="5"/>
    <x v="10"/>
    <x v="2"/>
  </r>
  <r>
    <x v="2001"/>
    <x v="17"/>
    <x v="13"/>
    <x v="438"/>
    <n v="126.60000000000001"/>
    <x v="73"/>
    <x v="69"/>
    <x v="1"/>
    <x v="1"/>
    <x v="2"/>
    <x v="0"/>
    <x v="21"/>
    <x v="3"/>
    <x v="10"/>
    <x v="1"/>
  </r>
  <r>
    <x v="2002"/>
    <x v="15"/>
    <x v="21"/>
    <x v="522"/>
    <n v="604.80000000000007"/>
    <x v="73"/>
    <x v="69"/>
    <x v="3"/>
    <x v="0"/>
    <x v="1"/>
    <x v="0"/>
    <x v="21"/>
    <x v="3"/>
    <x v="10"/>
    <x v="3"/>
  </r>
  <r>
    <x v="2003"/>
    <x v="9"/>
    <x v="1"/>
    <x v="438"/>
    <n v="42.2"/>
    <x v="73"/>
    <x v="69"/>
    <x v="0"/>
    <x v="3"/>
    <x v="1"/>
    <x v="0"/>
    <x v="21"/>
    <x v="3"/>
    <x v="10"/>
    <x v="0"/>
  </r>
  <r>
    <x v="2004"/>
    <x v="6"/>
    <x v="12"/>
    <x v="397"/>
    <n v="165.2"/>
    <x v="73"/>
    <x v="76"/>
    <x v="2"/>
    <x v="3"/>
    <x v="2"/>
    <x v="0"/>
    <x v="1"/>
    <x v="1"/>
    <x v="10"/>
    <x v="2"/>
  </r>
  <r>
    <x v="2005"/>
    <x v="8"/>
    <x v="1"/>
    <x v="678"/>
    <n v="30.6"/>
    <x v="73"/>
    <x v="73"/>
    <x v="0"/>
    <x v="2"/>
    <x v="2"/>
    <x v="0"/>
    <x v="1"/>
    <x v="2"/>
    <x v="10"/>
    <x v="0"/>
  </r>
  <r>
    <x v="2006"/>
    <x v="1"/>
    <x v="0"/>
    <x v="514"/>
    <n v="54.6"/>
    <x v="73"/>
    <x v="76"/>
    <x v="1"/>
    <x v="1"/>
    <x v="1"/>
    <x v="0"/>
    <x v="2"/>
    <x v="1"/>
    <x v="10"/>
    <x v="1"/>
  </r>
  <r>
    <x v="2007"/>
    <x v="8"/>
    <x v="0"/>
    <x v="496"/>
    <n v="15.9"/>
    <x v="73"/>
    <x v="69"/>
    <x v="1"/>
    <x v="0"/>
    <x v="1"/>
    <x v="0"/>
    <x v="22"/>
    <x v="3"/>
    <x v="10"/>
    <x v="1"/>
  </r>
  <r>
    <x v="2008"/>
    <x v="9"/>
    <x v="0"/>
    <x v="534"/>
    <n v="50.2"/>
    <x v="73"/>
    <x v="76"/>
    <x v="2"/>
    <x v="3"/>
    <x v="2"/>
    <x v="0"/>
    <x v="34"/>
    <x v="1"/>
    <x v="10"/>
    <x v="2"/>
  </r>
  <r>
    <x v="2009"/>
    <x v="11"/>
    <x v="12"/>
    <x v="874"/>
    <n v="340.4"/>
    <x v="73"/>
    <x v="69"/>
    <x v="2"/>
    <x v="3"/>
    <x v="4"/>
    <x v="0"/>
    <x v="34"/>
    <x v="3"/>
    <x v="10"/>
    <x v="2"/>
  </r>
  <r>
    <x v="2010"/>
    <x v="11"/>
    <x v="1"/>
    <x v="50"/>
    <n v="82.8"/>
    <x v="73"/>
    <x v="69"/>
    <x v="2"/>
    <x v="0"/>
    <x v="2"/>
    <x v="0"/>
    <x v="3"/>
    <x v="3"/>
    <x v="10"/>
    <x v="2"/>
  </r>
  <r>
    <x v="2011"/>
    <x v="4"/>
    <x v="3"/>
    <x v="195"/>
    <n v="228.90000000000003"/>
    <x v="73"/>
    <x v="69"/>
    <x v="2"/>
    <x v="2"/>
    <x v="1"/>
    <x v="0"/>
    <x v="3"/>
    <x v="3"/>
    <x v="10"/>
    <x v="2"/>
  </r>
  <r>
    <x v="2012"/>
    <x v="4"/>
    <x v="1"/>
    <x v="654"/>
    <n v="83.2"/>
    <x v="73"/>
    <x v="76"/>
    <x v="1"/>
    <x v="4"/>
    <x v="1"/>
    <x v="0"/>
    <x v="3"/>
    <x v="1"/>
    <x v="10"/>
    <x v="1"/>
  </r>
  <r>
    <x v="2013"/>
    <x v="5"/>
    <x v="12"/>
    <x v="497"/>
    <n v="259.2"/>
    <x v="73"/>
    <x v="69"/>
    <x v="0"/>
    <x v="2"/>
    <x v="0"/>
    <x v="0"/>
    <x v="3"/>
    <x v="3"/>
    <x v="10"/>
    <x v="0"/>
  </r>
  <r>
    <x v="2014"/>
    <x v="15"/>
    <x v="1"/>
    <x v="570"/>
    <n v="67.2"/>
    <x v="73"/>
    <x v="69"/>
    <x v="1"/>
    <x v="0"/>
    <x v="2"/>
    <x v="0"/>
    <x v="3"/>
    <x v="3"/>
    <x v="10"/>
    <x v="1"/>
  </r>
  <r>
    <x v="2015"/>
    <x v="6"/>
    <x v="2"/>
    <x v="875"/>
    <n v="302.10000000000002"/>
    <x v="73"/>
    <x v="69"/>
    <x v="0"/>
    <x v="1"/>
    <x v="0"/>
    <x v="0"/>
    <x v="3"/>
    <x v="3"/>
    <x v="10"/>
    <x v="0"/>
  </r>
  <r>
    <x v="2016"/>
    <x v="4"/>
    <x v="1"/>
    <x v="660"/>
    <n v="98.6"/>
    <x v="74"/>
    <x v="73"/>
    <x v="2"/>
    <x v="4"/>
    <x v="2"/>
    <x v="0"/>
    <x v="3"/>
    <x v="1"/>
    <x v="11"/>
    <x v="2"/>
  </r>
  <r>
    <x v="2017"/>
    <x v="2"/>
    <x v="13"/>
    <x v="876"/>
    <n v="582"/>
    <x v="74"/>
    <x v="83"/>
    <x v="1"/>
    <x v="2"/>
    <x v="2"/>
    <x v="0"/>
    <x v="3"/>
    <x v="2"/>
    <x v="11"/>
    <x v="1"/>
  </r>
  <r>
    <x v="2018"/>
    <x v="0"/>
    <x v="13"/>
    <x v="19"/>
    <n v="151.19999999999999"/>
    <x v="74"/>
    <x v="83"/>
    <x v="2"/>
    <x v="4"/>
    <x v="2"/>
    <x v="0"/>
    <x v="3"/>
    <x v="2"/>
    <x v="11"/>
    <x v="2"/>
  </r>
  <r>
    <x v="2019"/>
    <x v="0"/>
    <x v="5"/>
    <x v="877"/>
    <n v="134.19999999999999"/>
    <x v="74"/>
    <x v="76"/>
    <x v="0"/>
    <x v="0"/>
    <x v="1"/>
    <x v="0"/>
    <x v="3"/>
    <x v="3"/>
    <x v="11"/>
    <x v="0"/>
  </r>
  <r>
    <x v="2020"/>
    <x v="8"/>
    <x v="3"/>
    <x v="665"/>
    <n v="271.59999999999997"/>
    <x v="74"/>
    <x v="73"/>
    <x v="2"/>
    <x v="1"/>
    <x v="1"/>
    <x v="0"/>
    <x v="23"/>
    <x v="1"/>
    <x v="11"/>
    <x v="2"/>
  </r>
  <r>
    <x v="2021"/>
    <x v="2"/>
    <x v="12"/>
    <x v="459"/>
    <n v="212.8"/>
    <x v="74"/>
    <x v="76"/>
    <x v="1"/>
    <x v="0"/>
    <x v="2"/>
    <x v="0"/>
    <x v="8"/>
    <x v="3"/>
    <x v="11"/>
    <x v="1"/>
  </r>
  <r>
    <x v="2022"/>
    <x v="6"/>
    <x v="3"/>
    <x v="878"/>
    <n v="1057"/>
    <x v="74"/>
    <x v="76"/>
    <x v="3"/>
    <x v="1"/>
    <x v="1"/>
    <x v="0"/>
    <x v="8"/>
    <x v="3"/>
    <x v="11"/>
    <x v="3"/>
  </r>
  <r>
    <x v="2023"/>
    <x v="1"/>
    <x v="1"/>
    <x v="719"/>
    <n v="74.2"/>
    <x v="74"/>
    <x v="76"/>
    <x v="2"/>
    <x v="4"/>
    <x v="0"/>
    <x v="0"/>
    <x v="8"/>
    <x v="3"/>
    <x v="11"/>
    <x v="2"/>
  </r>
  <r>
    <x v="2024"/>
    <x v="5"/>
    <x v="1"/>
    <x v="400"/>
    <n v="77.8"/>
    <x v="74"/>
    <x v="76"/>
    <x v="1"/>
    <x v="4"/>
    <x v="0"/>
    <x v="0"/>
    <x v="8"/>
    <x v="3"/>
    <x v="11"/>
    <x v="1"/>
  </r>
  <r>
    <x v="2025"/>
    <x v="10"/>
    <x v="1"/>
    <x v="200"/>
    <n v="70.400000000000006"/>
    <x v="74"/>
    <x v="76"/>
    <x v="1"/>
    <x v="0"/>
    <x v="2"/>
    <x v="0"/>
    <x v="17"/>
    <x v="3"/>
    <x v="11"/>
    <x v="1"/>
  </r>
  <r>
    <x v="2026"/>
    <x v="0"/>
    <x v="1"/>
    <x v="208"/>
    <n v="44.6"/>
    <x v="74"/>
    <x v="73"/>
    <x v="2"/>
    <x v="1"/>
    <x v="0"/>
    <x v="0"/>
    <x v="9"/>
    <x v="1"/>
    <x v="11"/>
    <x v="2"/>
  </r>
  <r>
    <x v="2027"/>
    <x v="9"/>
    <x v="0"/>
    <x v="705"/>
    <n v="43.3"/>
    <x v="74"/>
    <x v="83"/>
    <x v="2"/>
    <x v="0"/>
    <x v="2"/>
    <x v="0"/>
    <x v="11"/>
    <x v="2"/>
    <x v="11"/>
    <x v="2"/>
  </r>
  <r>
    <x v="2028"/>
    <x v="6"/>
    <x v="13"/>
    <x v="836"/>
    <n v="455.40000000000003"/>
    <x v="74"/>
    <x v="80"/>
    <x v="1"/>
    <x v="0"/>
    <x v="0"/>
    <x v="0"/>
    <x v="11"/>
    <x v="4"/>
    <x v="11"/>
    <x v="1"/>
  </r>
  <r>
    <x v="2029"/>
    <x v="6"/>
    <x v="2"/>
    <x v="685"/>
    <n v="236.10000000000002"/>
    <x v="74"/>
    <x v="78"/>
    <x v="2"/>
    <x v="2"/>
    <x v="1"/>
    <x v="0"/>
    <x v="11"/>
    <x v="5"/>
    <x v="11"/>
    <x v="2"/>
  </r>
  <r>
    <x v="2030"/>
    <x v="1"/>
    <x v="0"/>
    <x v="730"/>
    <n v="66.3"/>
    <x v="74"/>
    <x v="78"/>
    <x v="2"/>
    <x v="0"/>
    <x v="2"/>
    <x v="0"/>
    <x v="19"/>
    <x v="5"/>
    <x v="11"/>
    <x v="2"/>
  </r>
  <r>
    <x v="2031"/>
    <x v="8"/>
    <x v="1"/>
    <x v="570"/>
    <n v="67.2"/>
    <x v="74"/>
    <x v="69"/>
    <x v="1"/>
    <x v="0"/>
    <x v="1"/>
    <x v="0"/>
    <x v="19"/>
    <x v="7"/>
    <x v="11"/>
    <x v="1"/>
  </r>
  <r>
    <x v="2032"/>
    <x v="2"/>
    <x v="3"/>
    <x v="854"/>
    <n v="429.8"/>
    <x v="74"/>
    <x v="76"/>
    <x v="1"/>
    <x v="4"/>
    <x v="0"/>
    <x v="0"/>
    <x v="19"/>
    <x v="3"/>
    <x v="11"/>
    <x v="1"/>
  </r>
  <r>
    <x v="2033"/>
    <x v="8"/>
    <x v="1"/>
    <x v="25"/>
    <n v="35"/>
    <x v="74"/>
    <x v="83"/>
    <x v="2"/>
    <x v="0"/>
    <x v="0"/>
    <x v="0"/>
    <x v="21"/>
    <x v="2"/>
    <x v="11"/>
    <x v="2"/>
  </r>
  <r>
    <x v="2034"/>
    <x v="8"/>
    <x v="1"/>
    <x v="504"/>
    <n v="65"/>
    <x v="74"/>
    <x v="83"/>
    <x v="2"/>
    <x v="1"/>
    <x v="0"/>
    <x v="0"/>
    <x v="21"/>
    <x v="2"/>
    <x v="11"/>
    <x v="2"/>
  </r>
  <r>
    <x v="2035"/>
    <x v="4"/>
    <x v="0"/>
    <x v="292"/>
    <n v="34.6"/>
    <x v="74"/>
    <x v="76"/>
    <x v="2"/>
    <x v="4"/>
    <x v="0"/>
    <x v="0"/>
    <x v="21"/>
    <x v="3"/>
    <x v="11"/>
    <x v="2"/>
  </r>
  <r>
    <x v="2036"/>
    <x v="2"/>
    <x v="0"/>
    <x v="836"/>
    <n v="75.900000000000006"/>
    <x v="74"/>
    <x v="69"/>
    <x v="1"/>
    <x v="1"/>
    <x v="2"/>
    <x v="0"/>
    <x v="21"/>
    <x v="7"/>
    <x v="11"/>
    <x v="1"/>
  </r>
  <r>
    <x v="2037"/>
    <x v="1"/>
    <x v="2"/>
    <x v="624"/>
    <n v="126.30000000000001"/>
    <x v="74"/>
    <x v="83"/>
    <x v="1"/>
    <x v="1"/>
    <x v="1"/>
    <x v="0"/>
    <x v="21"/>
    <x v="2"/>
    <x v="11"/>
    <x v="1"/>
  </r>
  <r>
    <x v="2038"/>
    <x v="7"/>
    <x v="2"/>
    <x v="225"/>
    <n v="195.89999999999998"/>
    <x v="74"/>
    <x v="79"/>
    <x v="1"/>
    <x v="0"/>
    <x v="0"/>
    <x v="0"/>
    <x v="1"/>
    <x v="6"/>
    <x v="11"/>
    <x v="1"/>
  </r>
  <r>
    <x v="2039"/>
    <x v="15"/>
    <x v="0"/>
    <x v="468"/>
    <n v="20.6"/>
    <x v="74"/>
    <x v="83"/>
    <x v="1"/>
    <x v="3"/>
    <x v="0"/>
    <x v="0"/>
    <x v="42"/>
    <x v="2"/>
    <x v="11"/>
    <x v="1"/>
  </r>
  <r>
    <x v="2040"/>
    <x v="8"/>
    <x v="3"/>
    <x v="879"/>
    <n v="115.5"/>
    <x v="74"/>
    <x v="76"/>
    <x v="1"/>
    <x v="1"/>
    <x v="1"/>
    <x v="0"/>
    <x v="2"/>
    <x v="3"/>
    <x v="11"/>
    <x v="1"/>
  </r>
  <r>
    <x v="2041"/>
    <x v="16"/>
    <x v="7"/>
    <x v="310"/>
    <n v="362"/>
    <x v="74"/>
    <x v="73"/>
    <x v="1"/>
    <x v="0"/>
    <x v="2"/>
    <x v="0"/>
    <x v="2"/>
    <x v="1"/>
    <x v="11"/>
    <x v="1"/>
  </r>
  <r>
    <x v="2042"/>
    <x v="6"/>
    <x v="0"/>
    <x v="459"/>
    <n v="53.2"/>
    <x v="74"/>
    <x v="76"/>
    <x v="2"/>
    <x v="0"/>
    <x v="1"/>
    <x v="0"/>
    <x v="22"/>
    <x v="3"/>
    <x v="11"/>
    <x v="2"/>
  </r>
  <r>
    <x v="2043"/>
    <x v="2"/>
    <x v="21"/>
    <x v="880"/>
    <n v="2464"/>
    <x v="74"/>
    <x v="76"/>
    <x v="2"/>
    <x v="0"/>
    <x v="1"/>
    <x v="0"/>
    <x v="3"/>
    <x v="3"/>
    <x v="11"/>
    <x v="2"/>
  </r>
  <r>
    <x v="2044"/>
    <x v="1"/>
    <x v="0"/>
    <x v="515"/>
    <n v="52.4"/>
    <x v="74"/>
    <x v="76"/>
    <x v="1"/>
    <x v="1"/>
    <x v="0"/>
    <x v="0"/>
    <x v="3"/>
    <x v="3"/>
    <x v="11"/>
    <x v="1"/>
  </r>
  <r>
    <x v="2045"/>
    <x v="10"/>
    <x v="2"/>
    <x v="297"/>
    <n v="144.60000000000002"/>
    <x v="74"/>
    <x v="76"/>
    <x v="2"/>
    <x v="1"/>
    <x v="2"/>
    <x v="0"/>
    <x v="3"/>
    <x v="3"/>
    <x v="11"/>
    <x v="2"/>
  </r>
  <r>
    <x v="2046"/>
    <x v="15"/>
    <x v="0"/>
    <x v="728"/>
    <n v="51.6"/>
    <x v="74"/>
    <x v="78"/>
    <x v="2"/>
    <x v="2"/>
    <x v="1"/>
    <x v="0"/>
    <x v="3"/>
    <x v="5"/>
    <x v="11"/>
    <x v="2"/>
  </r>
  <r>
    <x v="2047"/>
    <x v="0"/>
    <x v="12"/>
    <x v="532"/>
    <n v="134.80000000000001"/>
    <x v="75"/>
    <x v="73"/>
    <x v="1"/>
    <x v="0"/>
    <x v="0"/>
    <x v="0"/>
    <x v="3"/>
    <x v="3"/>
    <x v="11"/>
    <x v="1"/>
  </r>
  <r>
    <x v="2048"/>
    <x v="4"/>
    <x v="7"/>
    <x v="791"/>
    <n v="363"/>
    <x v="75"/>
    <x v="83"/>
    <x v="2"/>
    <x v="4"/>
    <x v="1"/>
    <x v="0"/>
    <x v="3"/>
    <x v="1"/>
    <x v="11"/>
    <x v="2"/>
  </r>
  <r>
    <x v="2049"/>
    <x v="8"/>
    <x v="0"/>
    <x v="139"/>
    <n v="23.4"/>
    <x v="75"/>
    <x v="80"/>
    <x v="2"/>
    <x v="1"/>
    <x v="2"/>
    <x v="0"/>
    <x v="3"/>
    <x v="0"/>
    <x v="11"/>
    <x v="2"/>
  </r>
  <r>
    <x v="2050"/>
    <x v="15"/>
    <x v="8"/>
    <x v="472"/>
    <n v="452.8"/>
    <x v="75"/>
    <x v="83"/>
    <x v="2"/>
    <x v="1"/>
    <x v="0"/>
    <x v="0"/>
    <x v="3"/>
    <x v="1"/>
    <x v="11"/>
    <x v="2"/>
  </r>
  <r>
    <x v="2051"/>
    <x v="15"/>
    <x v="1"/>
    <x v="48"/>
    <n v="53.6"/>
    <x v="75"/>
    <x v="73"/>
    <x v="1"/>
    <x v="0"/>
    <x v="0"/>
    <x v="0"/>
    <x v="4"/>
    <x v="3"/>
    <x v="11"/>
    <x v="1"/>
  </r>
  <r>
    <x v="2052"/>
    <x v="0"/>
    <x v="2"/>
    <x v="229"/>
    <n v="33.900000000000006"/>
    <x v="75"/>
    <x v="83"/>
    <x v="1"/>
    <x v="2"/>
    <x v="0"/>
    <x v="0"/>
    <x v="25"/>
    <x v="1"/>
    <x v="11"/>
    <x v="1"/>
  </r>
  <r>
    <x v="2053"/>
    <x v="6"/>
    <x v="2"/>
    <x v="110"/>
    <n v="180.3"/>
    <x v="75"/>
    <x v="78"/>
    <x v="2"/>
    <x v="0"/>
    <x v="0"/>
    <x v="0"/>
    <x v="7"/>
    <x v="2"/>
    <x v="11"/>
    <x v="2"/>
  </r>
  <r>
    <x v="2054"/>
    <x v="0"/>
    <x v="5"/>
    <x v="389"/>
    <n v="304.7"/>
    <x v="75"/>
    <x v="80"/>
    <x v="2"/>
    <x v="0"/>
    <x v="0"/>
    <x v="0"/>
    <x v="8"/>
    <x v="0"/>
    <x v="11"/>
    <x v="2"/>
  </r>
  <r>
    <x v="2055"/>
    <x v="15"/>
    <x v="0"/>
    <x v="254"/>
    <n v="71.400000000000006"/>
    <x v="75"/>
    <x v="78"/>
    <x v="1"/>
    <x v="0"/>
    <x v="2"/>
    <x v="0"/>
    <x v="8"/>
    <x v="2"/>
    <x v="11"/>
    <x v="1"/>
  </r>
  <r>
    <x v="2056"/>
    <x v="2"/>
    <x v="1"/>
    <x v="14"/>
    <n v="133.4"/>
    <x v="75"/>
    <x v="73"/>
    <x v="2"/>
    <x v="0"/>
    <x v="2"/>
    <x v="0"/>
    <x v="8"/>
    <x v="3"/>
    <x v="11"/>
    <x v="2"/>
  </r>
  <r>
    <x v="2057"/>
    <x v="13"/>
    <x v="9"/>
    <x v="644"/>
    <n v="195.5"/>
    <x v="75"/>
    <x v="73"/>
    <x v="2"/>
    <x v="0"/>
    <x v="0"/>
    <x v="0"/>
    <x v="8"/>
    <x v="3"/>
    <x v="11"/>
    <x v="2"/>
  </r>
  <r>
    <x v="2058"/>
    <x v="8"/>
    <x v="12"/>
    <x v="187"/>
    <n v="99.6"/>
    <x v="75"/>
    <x v="80"/>
    <x v="1"/>
    <x v="1"/>
    <x v="2"/>
    <x v="0"/>
    <x v="8"/>
    <x v="0"/>
    <x v="11"/>
    <x v="1"/>
  </r>
  <r>
    <x v="2059"/>
    <x v="5"/>
    <x v="9"/>
    <x v="402"/>
    <n v="146"/>
    <x v="75"/>
    <x v="73"/>
    <x v="1"/>
    <x v="0"/>
    <x v="2"/>
    <x v="0"/>
    <x v="17"/>
    <x v="3"/>
    <x v="11"/>
    <x v="1"/>
  </r>
  <r>
    <x v="2060"/>
    <x v="13"/>
    <x v="21"/>
    <x v="805"/>
    <n v="396.2"/>
    <x v="75"/>
    <x v="83"/>
    <x v="2"/>
    <x v="1"/>
    <x v="0"/>
    <x v="0"/>
    <x v="11"/>
    <x v="1"/>
    <x v="11"/>
    <x v="2"/>
  </r>
  <r>
    <x v="2061"/>
    <x v="9"/>
    <x v="2"/>
    <x v="256"/>
    <n v="113.39999999999999"/>
    <x v="75"/>
    <x v="73"/>
    <x v="2"/>
    <x v="0"/>
    <x v="1"/>
    <x v="0"/>
    <x v="11"/>
    <x v="3"/>
    <x v="11"/>
    <x v="2"/>
  </r>
  <r>
    <x v="2062"/>
    <x v="14"/>
    <x v="3"/>
    <x v="257"/>
    <n v="196.70000000000002"/>
    <x v="75"/>
    <x v="79"/>
    <x v="2"/>
    <x v="2"/>
    <x v="0"/>
    <x v="0"/>
    <x v="11"/>
    <x v="4"/>
    <x v="11"/>
    <x v="2"/>
  </r>
  <r>
    <x v="2063"/>
    <x v="1"/>
    <x v="2"/>
    <x v="115"/>
    <n v="179.10000000000002"/>
    <x v="75"/>
    <x v="83"/>
    <x v="2"/>
    <x v="2"/>
    <x v="0"/>
    <x v="0"/>
    <x v="11"/>
    <x v="1"/>
    <x v="11"/>
    <x v="2"/>
  </r>
  <r>
    <x v="2064"/>
    <x v="16"/>
    <x v="0"/>
    <x v="774"/>
    <n v="71.900000000000006"/>
    <x v="75"/>
    <x v="73"/>
    <x v="1"/>
    <x v="1"/>
    <x v="1"/>
    <x v="0"/>
    <x v="11"/>
    <x v="3"/>
    <x v="11"/>
    <x v="1"/>
  </r>
  <r>
    <x v="2065"/>
    <x v="1"/>
    <x v="1"/>
    <x v="881"/>
    <n v="113.8"/>
    <x v="75"/>
    <x v="73"/>
    <x v="1"/>
    <x v="2"/>
    <x v="0"/>
    <x v="0"/>
    <x v="13"/>
    <x v="3"/>
    <x v="11"/>
    <x v="1"/>
  </r>
  <r>
    <x v="2066"/>
    <x v="8"/>
    <x v="1"/>
    <x v="35"/>
    <n v="31.6"/>
    <x v="75"/>
    <x v="78"/>
    <x v="2"/>
    <x v="2"/>
    <x v="1"/>
    <x v="0"/>
    <x v="1"/>
    <x v="2"/>
    <x v="11"/>
    <x v="2"/>
  </r>
  <r>
    <x v="2067"/>
    <x v="11"/>
    <x v="12"/>
    <x v="227"/>
    <n v="246.8"/>
    <x v="75"/>
    <x v="83"/>
    <x v="2"/>
    <x v="2"/>
    <x v="0"/>
    <x v="0"/>
    <x v="22"/>
    <x v="1"/>
    <x v="11"/>
    <x v="2"/>
  </r>
  <r>
    <x v="2068"/>
    <x v="2"/>
    <x v="7"/>
    <x v="882"/>
    <n v="1052"/>
    <x v="75"/>
    <x v="83"/>
    <x v="1"/>
    <x v="1"/>
    <x v="4"/>
    <x v="0"/>
    <x v="3"/>
    <x v="1"/>
    <x v="11"/>
    <x v="1"/>
  </r>
  <r>
    <x v="2069"/>
    <x v="0"/>
    <x v="1"/>
    <x v="771"/>
    <n v="34"/>
    <x v="75"/>
    <x v="83"/>
    <x v="2"/>
    <x v="2"/>
    <x v="0"/>
    <x v="0"/>
    <x v="3"/>
    <x v="1"/>
    <x v="11"/>
    <x v="2"/>
  </r>
  <r>
    <x v="2070"/>
    <x v="6"/>
    <x v="2"/>
    <x v="883"/>
    <n v="252.29999999999998"/>
    <x v="75"/>
    <x v="73"/>
    <x v="1"/>
    <x v="2"/>
    <x v="0"/>
    <x v="0"/>
    <x v="3"/>
    <x v="3"/>
    <x v="11"/>
    <x v="1"/>
  </r>
  <r>
    <x v="2071"/>
    <x v="3"/>
    <x v="12"/>
    <x v="233"/>
    <n v="238"/>
    <x v="75"/>
    <x v="80"/>
    <x v="1"/>
    <x v="0"/>
    <x v="2"/>
    <x v="0"/>
    <x v="3"/>
    <x v="0"/>
    <x v="11"/>
    <x v="1"/>
  </r>
  <r>
    <x v="2072"/>
    <x v="8"/>
    <x v="1"/>
    <x v="884"/>
    <n v="115"/>
    <x v="75"/>
    <x v="83"/>
    <x v="1"/>
    <x v="1"/>
    <x v="2"/>
    <x v="0"/>
    <x v="3"/>
    <x v="1"/>
    <x v="11"/>
    <x v="1"/>
  </r>
  <r>
    <x v="2073"/>
    <x v="8"/>
    <x v="0"/>
    <x v="695"/>
    <n v="34.299999999999997"/>
    <x v="75"/>
    <x v="73"/>
    <x v="2"/>
    <x v="4"/>
    <x v="2"/>
    <x v="0"/>
    <x v="3"/>
    <x v="3"/>
    <x v="11"/>
    <x v="2"/>
  </r>
  <r>
    <x v="2074"/>
    <x v="5"/>
    <x v="1"/>
    <x v="646"/>
    <n v="55.6"/>
    <x v="76"/>
    <x v="78"/>
    <x v="2"/>
    <x v="0"/>
    <x v="0"/>
    <x v="0"/>
    <x v="3"/>
    <x v="1"/>
    <x v="11"/>
    <x v="2"/>
  </r>
  <r>
    <x v="2075"/>
    <x v="12"/>
    <x v="1"/>
    <x v="345"/>
    <n v="170"/>
    <x v="76"/>
    <x v="73"/>
    <x v="1"/>
    <x v="2"/>
    <x v="2"/>
    <x v="0"/>
    <x v="3"/>
    <x v="7"/>
    <x v="11"/>
    <x v="1"/>
  </r>
  <r>
    <x v="2076"/>
    <x v="6"/>
    <x v="1"/>
    <x v="831"/>
    <n v="190"/>
    <x v="76"/>
    <x v="78"/>
    <x v="2"/>
    <x v="0"/>
    <x v="0"/>
    <x v="0"/>
    <x v="3"/>
    <x v="1"/>
    <x v="11"/>
    <x v="2"/>
  </r>
  <r>
    <x v="2077"/>
    <x v="16"/>
    <x v="1"/>
    <x v="34"/>
    <n v="64"/>
    <x v="76"/>
    <x v="78"/>
    <x v="1"/>
    <x v="0"/>
    <x v="1"/>
    <x v="0"/>
    <x v="3"/>
    <x v="1"/>
    <x v="11"/>
    <x v="1"/>
  </r>
  <r>
    <x v="2078"/>
    <x v="2"/>
    <x v="1"/>
    <x v="203"/>
    <n v="130.4"/>
    <x v="76"/>
    <x v="83"/>
    <x v="2"/>
    <x v="1"/>
    <x v="0"/>
    <x v="0"/>
    <x v="3"/>
    <x v="3"/>
    <x v="11"/>
    <x v="2"/>
  </r>
  <r>
    <x v="2079"/>
    <x v="17"/>
    <x v="12"/>
    <x v="595"/>
    <n v="88"/>
    <x v="76"/>
    <x v="83"/>
    <x v="1"/>
    <x v="1"/>
    <x v="2"/>
    <x v="0"/>
    <x v="3"/>
    <x v="3"/>
    <x v="11"/>
    <x v="1"/>
  </r>
  <r>
    <x v="2080"/>
    <x v="15"/>
    <x v="2"/>
    <x v="135"/>
    <n v="208.20000000000002"/>
    <x v="76"/>
    <x v="75"/>
    <x v="1"/>
    <x v="1"/>
    <x v="2"/>
    <x v="0"/>
    <x v="3"/>
    <x v="2"/>
    <x v="11"/>
    <x v="1"/>
  </r>
  <r>
    <x v="2081"/>
    <x v="10"/>
    <x v="13"/>
    <x v="217"/>
    <n v="189"/>
    <x v="76"/>
    <x v="78"/>
    <x v="2"/>
    <x v="0"/>
    <x v="2"/>
    <x v="0"/>
    <x v="3"/>
    <x v="1"/>
    <x v="11"/>
    <x v="2"/>
  </r>
  <r>
    <x v="2082"/>
    <x v="6"/>
    <x v="0"/>
    <x v="511"/>
    <n v="45.8"/>
    <x v="76"/>
    <x v="80"/>
    <x v="3"/>
    <x v="0"/>
    <x v="0"/>
    <x v="0"/>
    <x v="3"/>
    <x v="5"/>
    <x v="11"/>
    <x v="3"/>
  </r>
  <r>
    <x v="2083"/>
    <x v="19"/>
    <x v="12"/>
    <x v="885"/>
    <n v="51.2"/>
    <x v="76"/>
    <x v="82"/>
    <x v="2"/>
    <x v="1"/>
    <x v="1"/>
    <x v="0"/>
    <x v="5"/>
    <x v="6"/>
    <x v="11"/>
    <x v="2"/>
  </r>
  <r>
    <x v="2084"/>
    <x v="5"/>
    <x v="2"/>
    <x v="886"/>
    <n v="345.9"/>
    <x v="76"/>
    <x v="83"/>
    <x v="2"/>
    <x v="2"/>
    <x v="2"/>
    <x v="0"/>
    <x v="6"/>
    <x v="3"/>
    <x v="11"/>
    <x v="2"/>
  </r>
  <r>
    <x v="2085"/>
    <x v="5"/>
    <x v="1"/>
    <x v="345"/>
    <n v="170"/>
    <x v="76"/>
    <x v="78"/>
    <x v="2"/>
    <x v="1"/>
    <x v="0"/>
    <x v="0"/>
    <x v="7"/>
    <x v="1"/>
    <x v="11"/>
    <x v="2"/>
  </r>
  <r>
    <x v="2086"/>
    <x v="8"/>
    <x v="2"/>
    <x v="472"/>
    <n v="169.8"/>
    <x v="76"/>
    <x v="83"/>
    <x v="2"/>
    <x v="1"/>
    <x v="2"/>
    <x v="0"/>
    <x v="7"/>
    <x v="3"/>
    <x v="11"/>
    <x v="2"/>
  </r>
  <r>
    <x v="2087"/>
    <x v="15"/>
    <x v="6"/>
    <x v="425"/>
    <n v="1250.0999999999999"/>
    <x v="76"/>
    <x v="75"/>
    <x v="1"/>
    <x v="0"/>
    <x v="0"/>
    <x v="0"/>
    <x v="7"/>
    <x v="2"/>
    <x v="11"/>
    <x v="1"/>
  </r>
  <r>
    <x v="2088"/>
    <x v="14"/>
    <x v="12"/>
    <x v="887"/>
    <n v="92"/>
    <x v="76"/>
    <x v="80"/>
    <x v="1"/>
    <x v="3"/>
    <x v="2"/>
    <x v="0"/>
    <x v="7"/>
    <x v="5"/>
    <x v="11"/>
    <x v="1"/>
  </r>
  <r>
    <x v="2089"/>
    <x v="8"/>
    <x v="13"/>
    <x v="624"/>
    <n v="252.60000000000002"/>
    <x v="76"/>
    <x v="78"/>
    <x v="1"/>
    <x v="4"/>
    <x v="0"/>
    <x v="0"/>
    <x v="8"/>
    <x v="1"/>
    <x v="11"/>
    <x v="1"/>
  </r>
  <r>
    <x v="2090"/>
    <x v="5"/>
    <x v="3"/>
    <x v="214"/>
    <n v="401.8"/>
    <x v="76"/>
    <x v="80"/>
    <x v="2"/>
    <x v="1"/>
    <x v="4"/>
    <x v="0"/>
    <x v="8"/>
    <x v="5"/>
    <x v="11"/>
    <x v="2"/>
  </r>
  <r>
    <x v="2091"/>
    <x v="0"/>
    <x v="13"/>
    <x v="888"/>
    <n v="79.199999999999989"/>
    <x v="76"/>
    <x v="80"/>
    <x v="1"/>
    <x v="2"/>
    <x v="0"/>
    <x v="0"/>
    <x v="8"/>
    <x v="5"/>
    <x v="11"/>
    <x v="1"/>
  </r>
  <r>
    <x v="2092"/>
    <x v="6"/>
    <x v="2"/>
    <x v="574"/>
    <n v="156.89999999999998"/>
    <x v="76"/>
    <x v="83"/>
    <x v="1"/>
    <x v="1"/>
    <x v="0"/>
    <x v="0"/>
    <x v="8"/>
    <x v="3"/>
    <x v="11"/>
    <x v="1"/>
  </r>
  <r>
    <x v="2093"/>
    <x v="8"/>
    <x v="1"/>
    <x v="137"/>
    <n v="31.4"/>
    <x v="76"/>
    <x v="75"/>
    <x v="1"/>
    <x v="1"/>
    <x v="2"/>
    <x v="0"/>
    <x v="8"/>
    <x v="2"/>
    <x v="11"/>
    <x v="1"/>
  </r>
  <r>
    <x v="2094"/>
    <x v="7"/>
    <x v="2"/>
    <x v="775"/>
    <n v="105"/>
    <x v="76"/>
    <x v="75"/>
    <x v="2"/>
    <x v="1"/>
    <x v="2"/>
    <x v="0"/>
    <x v="9"/>
    <x v="2"/>
    <x v="11"/>
    <x v="2"/>
  </r>
  <r>
    <x v="2095"/>
    <x v="4"/>
    <x v="2"/>
    <x v="439"/>
    <n v="79.800000000000011"/>
    <x v="76"/>
    <x v="73"/>
    <x v="1"/>
    <x v="1"/>
    <x v="2"/>
    <x v="0"/>
    <x v="11"/>
    <x v="7"/>
    <x v="11"/>
    <x v="1"/>
  </r>
  <r>
    <x v="2096"/>
    <x v="4"/>
    <x v="8"/>
    <x v="367"/>
    <n v="383.2"/>
    <x v="77"/>
    <x v="78"/>
    <x v="2"/>
    <x v="3"/>
    <x v="2"/>
    <x v="0"/>
    <x v="20"/>
    <x v="3"/>
    <x v="11"/>
    <x v="2"/>
  </r>
  <r>
    <x v="2097"/>
    <x v="5"/>
    <x v="0"/>
    <x v="889"/>
    <n v="80.099999999999994"/>
    <x v="77"/>
    <x v="78"/>
    <x v="1"/>
    <x v="2"/>
    <x v="0"/>
    <x v="0"/>
    <x v="21"/>
    <x v="3"/>
    <x v="11"/>
    <x v="1"/>
  </r>
  <r>
    <x v="2098"/>
    <x v="6"/>
    <x v="9"/>
    <x v="88"/>
    <n v="252"/>
    <x v="77"/>
    <x v="78"/>
    <x v="1"/>
    <x v="1"/>
    <x v="2"/>
    <x v="0"/>
    <x v="21"/>
    <x v="3"/>
    <x v="11"/>
    <x v="1"/>
  </r>
  <r>
    <x v="2099"/>
    <x v="10"/>
    <x v="3"/>
    <x v="705"/>
    <n v="303.09999999999997"/>
    <x v="77"/>
    <x v="78"/>
    <x v="1"/>
    <x v="2"/>
    <x v="0"/>
    <x v="0"/>
    <x v="21"/>
    <x v="3"/>
    <x v="11"/>
    <x v="1"/>
  </r>
  <r>
    <x v="2100"/>
    <x v="10"/>
    <x v="12"/>
    <x v="884"/>
    <n v="230"/>
    <x v="77"/>
    <x v="78"/>
    <x v="2"/>
    <x v="1"/>
    <x v="2"/>
    <x v="0"/>
    <x v="1"/>
    <x v="3"/>
    <x v="11"/>
    <x v="2"/>
  </r>
  <r>
    <x v="2101"/>
    <x v="9"/>
    <x v="15"/>
    <x v="486"/>
    <n v="322.40000000000003"/>
    <x v="77"/>
    <x v="78"/>
    <x v="1"/>
    <x v="0"/>
    <x v="0"/>
    <x v="0"/>
    <x v="57"/>
    <x v="3"/>
    <x v="11"/>
    <x v="1"/>
  </r>
  <r>
    <x v="2102"/>
    <x v="2"/>
    <x v="11"/>
    <x v="753"/>
    <n v="771.30000000000007"/>
    <x v="77"/>
    <x v="78"/>
    <x v="2"/>
    <x v="0"/>
    <x v="0"/>
    <x v="0"/>
    <x v="42"/>
    <x v="3"/>
    <x v="11"/>
    <x v="2"/>
  </r>
  <r>
    <x v="2103"/>
    <x v="7"/>
    <x v="0"/>
    <x v="344"/>
    <n v="47.1"/>
    <x v="77"/>
    <x v="75"/>
    <x v="2"/>
    <x v="0"/>
    <x v="0"/>
    <x v="0"/>
    <x v="2"/>
    <x v="1"/>
    <x v="11"/>
    <x v="2"/>
  </r>
  <r>
    <x v="2104"/>
    <x v="5"/>
    <x v="7"/>
    <x v="890"/>
    <n v="832"/>
    <x v="77"/>
    <x v="79"/>
    <x v="2"/>
    <x v="0"/>
    <x v="0"/>
    <x v="0"/>
    <x v="33"/>
    <x v="5"/>
    <x v="11"/>
    <x v="2"/>
  </r>
  <r>
    <x v="2105"/>
    <x v="2"/>
    <x v="2"/>
    <x v="891"/>
    <n v="471"/>
    <x v="77"/>
    <x v="75"/>
    <x v="2"/>
    <x v="0"/>
    <x v="2"/>
    <x v="0"/>
    <x v="22"/>
    <x v="1"/>
    <x v="11"/>
    <x v="2"/>
  </r>
  <r>
    <x v="2106"/>
    <x v="16"/>
    <x v="12"/>
    <x v="532"/>
    <n v="134.80000000000001"/>
    <x v="77"/>
    <x v="78"/>
    <x v="1"/>
    <x v="2"/>
    <x v="2"/>
    <x v="0"/>
    <x v="22"/>
    <x v="3"/>
    <x v="11"/>
    <x v="1"/>
  </r>
  <r>
    <x v="2107"/>
    <x v="2"/>
    <x v="2"/>
    <x v="553"/>
    <n v="182.39999999999998"/>
    <x v="77"/>
    <x v="79"/>
    <x v="2"/>
    <x v="1"/>
    <x v="1"/>
    <x v="0"/>
    <x v="3"/>
    <x v="5"/>
    <x v="11"/>
    <x v="2"/>
  </r>
  <r>
    <x v="2108"/>
    <x v="7"/>
    <x v="0"/>
    <x v="222"/>
    <n v="57.6"/>
    <x v="77"/>
    <x v="78"/>
    <x v="1"/>
    <x v="1"/>
    <x v="4"/>
    <x v="0"/>
    <x v="3"/>
    <x v="3"/>
    <x v="11"/>
    <x v="1"/>
  </r>
  <r>
    <x v="2109"/>
    <x v="10"/>
    <x v="0"/>
    <x v="34"/>
    <n v="32"/>
    <x v="77"/>
    <x v="75"/>
    <x v="1"/>
    <x v="0"/>
    <x v="0"/>
    <x v="0"/>
    <x v="3"/>
    <x v="1"/>
    <x v="11"/>
    <x v="1"/>
  </r>
  <r>
    <x v="2110"/>
    <x v="10"/>
    <x v="12"/>
    <x v="234"/>
    <n v="94"/>
    <x v="77"/>
    <x v="78"/>
    <x v="2"/>
    <x v="0"/>
    <x v="2"/>
    <x v="0"/>
    <x v="3"/>
    <x v="3"/>
    <x v="11"/>
    <x v="2"/>
  </r>
  <r>
    <x v="2111"/>
    <x v="12"/>
    <x v="2"/>
    <x v="788"/>
    <n v="134.39999999999998"/>
    <x v="77"/>
    <x v="78"/>
    <x v="3"/>
    <x v="4"/>
    <x v="0"/>
    <x v="0"/>
    <x v="3"/>
    <x v="3"/>
    <x v="11"/>
    <x v="3"/>
  </r>
  <r>
    <x v="2112"/>
    <x v="0"/>
    <x v="8"/>
    <x v="860"/>
    <n v="93.6"/>
    <x v="77"/>
    <x v="78"/>
    <x v="1"/>
    <x v="2"/>
    <x v="2"/>
    <x v="0"/>
    <x v="3"/>
    <x v="3"/>
    <x v="11"/>
    <x v="1"/>
  </r>
  <r>
    <x v="2113"/>
    <x v="7"/>
    <x v="1"/>
    <x v="665"/>
    <n v="77.599999999999994"/>
    <x v="77"/>
    <x v="80"/>
    <x v="2"/>
    <x v="2"/>
    <x v="0"/>
    <x v="0"/>
    <x v="3"/>
    <x v="2"/>
    <x v="11"/>
    <x v="2"/>
  </r>
  <r>
    <x v="2114"/>
    <x v="5"/>
    <x v="21"/>
    <x v="724"/>
    <n v="1216.6000000000001"/>
    <x v="77"/>
    <x v="77"/>
    <x v="2"/>
    <x v="1"/>
    <x v="0"/>
    <x v="0"/>
    <x v="3"/>
    <x v="0"/>
    <x v="11"/>
    <x v="2"/>
  </r>
  <r>
    <x v="2115"/>
    <x v="8"/>
    <x v="0"/>
    <x v="383"/>
    <n v="18.3"/>
    <x v="77"/>
    <x v="78"/>
    <x v="2"/>
    <x v="0"/>
    <x v="0"/>
    <x v="0"/>
    <x v="3"/>
    <x v="3"/>
    <x v="11"/>
    <x v="2"/>
  </r>
  <r>
    <x v="2116"/>
    <x v="5"/>
    <x v="0"/>
    <x v="356"/>
    <n v="47.5"/>
    <x v="77"/>
    <x v="79"/>
    <x v="1"/>
    <x v="4"/>
    <x v="2"/>
    <x v="0"/>
    <x v="3"/>
    <x v="5"/>
    <x v="11"/>
    <x v="1"/>
  </r>
  <r>
    <x v="2117"/>
    <x v="1"/>
    <x v="1"/>
    <x v="716"/>
    <n v="157.19999999999999"/>
    <x v="77"/>
    <x v="78"/>
    <x v="1"/>
    <x v="2"/>
    <x v="2"/>
    <x v="0"/>
    <x v="3"/>
    <x v="3"/>
    <x v="11"/>
    <x v="1"/>
  </r>
  <r>
    <x v="2118"/>
    <x v="6"/>
    <x v="12"/>
    <x v="317"/>
    <n v="349.2"/>
    <x v="77"/>
    <x v="78"/>
    <x v="1"/>
    <x v="0"/>
    <x v="0"/>
    <x v="0"/>
    <x v="3"/>
    <x v="3"/>
    <x v="11"/>
    <x v="1"/>
  </r>
  <r>
    <x v="2119"/>
    <x v="9"/>
    <x v="1"/>
    <x v="56"/>
    <n v="126.4"/>
    <x v="77"/>
    <x v="83"/>
    <x v="1"/>
    <x v="4"/>
    <x v="1"/>
    <x v="0"/>
    <x v="3"/>
    <x v="7"/>
    <x v="11"/>
    <x v="1"/>
  </r>
  <r>
    <x v="2120"/>
    <x v="5"/>
    <x v="9"/>
    <x v="532"/>
    <n v="168.5"/>
    <x v="77"/>
    <x v="78"/>
    <x v="2"/>
    <x v="0"/>
    <x v="0"/>
    <x v="0"/>
    <x v="3"/>
    <x v="3"/>
    <x v="11"/>
    <x v="2"/>
  </r>
  <r>
    <x v="2121"/>
    <x v="2"/>
    <x v="2"/>
    <x v="892"/>
    <n v="322.20000000000005"/>
    <x v="77"/>
    <x v="84"/>
    <x v="2"/>
    <x v="1"/>
    <x v="2"/>
    <x v="0"/>
    <x v="3"/>
    <x v="10"/>
    <x v="11"/>
    <x v="2"/>
  </r>
  <r>
    <x v="2122"/>
    <x v="4"/>
    <x v="12"/>
    <x v="597"/>
    <n v="88.8"/>
    <x v="77"/>
    <x v="78"/>
    <x v="0"/>
    <x v="1"/>
    <x v="2"/>
    <x v="0"/>
    <x v="24"/>
    <x v="3"/>
    <x v="11"/>
    <x v="0"/>
  </r>
  <r>
    <x v="2123"/>
    <x v="18"/>
    <x v="2"/>
    <x v="434"/>
    <n v="158.39999999999998"/>
    <x v="77"/>
    <x v="78"/>
    <x v="1"/>
    <x v="3"/>
    <x v="2"/>
    <x v="0"/>
    <x v="24"/>
    <x v="3"/>
    <x v="11"/>
    <x v="1"/>
  </r>
  <r>
    <x v="2124"/>
    <x v="8"/>
    <x v="2"/>
    <x v="329"/>
    <n v="124.5"/>
    <x v="77"/>
    <x v="80"/>
    <x v="2"/>
    <x v="0"/>
    <x v="0"/>
    <x v="0"/>
    <x v="25"/>
    <x v="2"/>
    <x v="11"/>
    <x v="2"/>
  </r>
  <r>
    <x v="2125"/>
    <x v="12"/>
    <x v="8"/>
    <x v="386"/>
    <n v="828"/>
    <x v="77"/>
    <x v="80"/>
    <x v="2"/>
    <x v="0"/>
    <x v="2"/>
    <x v="0"/>
    <x v="23"/>
    <x v="2"/>
    <x v="11"/>
    <x v="2"/>
  </r>
  <r>
    <x v="2126"/>
    <x v="4"/>
    <x v="21"/>
    <x v="151"/>
    <n v="525"/>
    <x v="77"/>
    <x v="83"/>
    <x v="2"/>
    <x v="1"/>
    <x v="2"/>
    <x v="0"/>
    <x v="6"/>
    <x v="7"/>
    <x v="11"/>
    <x v="2"/>
  </r>
  <r>
    <x v="2127"/>
    <x v="15"/>
    <x v="8"/>
    <x v="73"/>
    <n v="355.2"/>
    <x v="77"/>
    <x v="82"/>
    <x v="2"/>
    <x v="3"/>
    <x v="2"/>
    <x v="0"/>
    <x v="7"/>
    <x v="4"/>
    <x v="11"/>
    <x v="2"/>
  </r>
  <r>
    <x v="2128"/>
    <x v="8"/>
    <x v="2"/>
    <x v="457"/>
    <n v="78.599999999999994"/>
    <x v="77"/>
    <x v="78"/>
    <x v="1"/>
    <x v="0"/>
    <x v="0"/>
    <x v="0"/>
    <x v="8"/>
    <x v="3"/>
    <x v="11"/>
    <x v="1"/>
  </r>
  <r>
    <x v="2129"/>
    <x v="1"/>
    <x v="3"/>
    <x v="380"/>
    <n v="225.40000000000003"/>
    <x v="77"/>
    <x v="78"/>
    <x v="2"/>
    <x v="1"/>
    <x v="2"/>
    <x v="0"/>
    <x v="8"/>
    <x v="3"/>
    <x v="11"/>
    <x v="2"/>
  </r>
  <r>
    <x v="2130"/>
    <x v="8"/>
    <x v="0"/>
    <x v="893"/>
    <n v="17.399999999999999"/>
    <x v="77"/>
    <x v="79"/>
    <x v="0"/>
    <x v="2"/>
    <x v="1"/>
    <x v="0"/>
    <x v="8"/>
    <x v="5"/>
    <x v="11"/>
    <x v="0"/>
  </r>
  <r>
    <x v="2131"/>
    <x v="8"/>
    <x v="13"/>
    <x v="583"/>
    <n v="433.79999999999995"/>
    <x v="77"/>
    <x v="80"/>
    <x v="2"/>
    <x v="0"/>
    <x v="0"/>
    <x v="0"/>
    <x v="8"/>
    <x v="2"/>
    <x v="11"/>
    <x v="2"/>
  </r>
  <r>
    <x v="2132"/>
    <x v="8"/>
    <x v="5"/>
    <x v="51"/>
    <n v="267.3"/>
    <x v="77"/>
    <x v="78"/>
    <x v="1"/>
    <x v="0"/>
    <x v="0"/>
    <x v="0"/>
    <x v="8"/>
    <x v="3"/>
    <x v="11"/>
    <x v="1"/>
  </r>
  <r>
    <x v="2133"/>
    <x v="13"/>
    <x v="2"/>
    <x v="182"/>
    <n v="147.30000000000001"/>
    <x v="77"/>
    <x v="82"/>
    <x v="1"/>
    <x v="2"/>
    <x v="4"/>
    <x v="0"/>
    <x v="8"/>
    <x v="4"/>
    <x v="11"/>
    <x v="1"/>
  </r>
  <r>
    <x v="2134"/>
    <x v="2"/>
    <x v="7"/>
    <x v="894"/>
    <n v="2347"/>
    <x v="77"/>
    <x v="78"/>
    <x v="1"/>
    <x v="3"/>
    <x v="1"/>
    <x v="0"/>
    <x v="8"/>
    <x v="3"/>
    <x v="11"/>
    <x v="1"/>
  </r>
  <r>
    <x v="2135"/>
    <x v="3"/>
    <x v="9"/>
    <x v="164"/>
    <n v="380.5"/>
    <x v="77"/>
    <x v="75"/>
    <x v="1"/>
    <x v="1"/>
    <x v="1"/>
    <x v="0"/>
    <x v="17"/>
    <x v="1"/>
    <x v="11"/>
    <x v="1"/>
  </r>
  <r>
    <x v="2136"/>
    <x v="1"/>
    <x v="2"/>
    <x v="895"/>
    <n v="281.70000000000005"/>
    <x v="77"/>
    <x v="78"/>
    <x v="1"/>
    <x v="1"/>
    <x v="4"/>
    <x v="0"/>
    <x v="11"/>
    <x v="3"/>
    <x v="11"/>
    <x v="1"/>
  </r>
  <r>
    <x v="2137"/>
    <x v="2"/>
    <x v="12"/>
    <x v="896"/>
    <n v="748"/>
    <x v="78"/>
    <x v="79"/>
    <x v="1"/>
    <x v="0"/>
    <x v="0"/>
    <x v="0"/>
    <x v="11"/>
    <x v="2"/>
    <x v="11"/>
    <x v="1"/>
  </r>
  <r>
    <x v="2138"/>
    <x v="8"/>
    <x v="1"/>
    <x v="53"/>
    <n v="36"/>
    <x v="78"/>
    <x v="75"/>
    <x v="2"/>
    <x v="1"/>
    <x v="2"/>
    <x v="0"/>
    <x v="53"/>
    <x v="3"/>
    <x v="11"/>
    <x v="2"/>
  </r>
  <r>
    <x v="2139"/>
    <x v="4"/>
    <x v="0"/>
    <x v="278"/>
    <n v="24.4"/>
    <x v="78"/>
    <x v="75"/>
    <x v="2"/>
    <x v="4"/>
    <x v="2"/>
    <x v="0"/>
    <x v="21"/>
    <x v="3"/>
    <x v="11"/>
    <x v="2"/>
  </r>
  <r>
    <x v="2140"/>
    <x v="10"/>
    <x v="1"/>
    <x v="665"/>
    <n v="77.599999999999994"/>
    <x v="78"/>
    <x v="75"/>
    <x v="1"/>
    <x v="4"/>
    <x v="1"/>
    <x v="0"/>
    <x v="3"/>
    <x v="3"/>
    <x v="11"/>
    <x v="1"/>
  </r>
  <r>
    <x v="2141"/>
    <x v="3"/>
    <x v="0"/>
    <x v="115"/>
    <n v="59.7"/>
    <x v="78"/>
    <x v="79"/>
    <x v="1"/>
    <x v="3"/>
    <x v="0"/>
    <x v="0"/>
    <x v="3"/>
    <x v="2"/>
    <x v="11"/>
    <x v="1"/>
  </r>
  <r>
    <x v="2142"/>
    <x v="7"/>
    <x v="0"/>
    <x v="63"/>
    <n v="31.2"/>
    <x v="78"/>
    <x v="75"/>
    <x v="1"/>
    <x v="1"/>
    <x v="2"/>
    <x v="0"/>
    <x v="3"/>
    <x v="3"/>
    <x v="11"/>
    <x v="1"/>
  </r>
  <r>
    <x v="2143"/>
    <x v="0"/>
    <x v="0"/>
    <x v="384"/>
    <n v="16.8"/>
    <x v="78"/>
    <x v="75"/>
    <x v="2"/>
    <x v="2"/>
    <x v="1"/>
    <x v="0"/>
    <x v="3"/>
    <x v="3"/>
    <x v="11"/>
    <x v="2"/>
  </r>
  <r>
    <x v="2144"/>
    <x v="8"/>
    <x v="0"/>
    <x v="544"/>
    <n v="46"/>
    <x v="78"/>
    <x v="75"/>
    <x v="1"/>
    <x v="0"/>
    <x v="0"/>
    <x v="0"/>
    <x v="3"/>
    <x v="3"/>
    <x v="11"/>
    <x v="1"/>
  </r>
  <r>
    <x v="2145"/>
    <x v="9"/>
    <x v="8"/>
    <x v="567"/>
    <n v="337.6"/>
    <x v="78"/>
    <x v="79"/>
    <x v="2"/>
    <x v="3"/>
    <x v="2"/>
    <x v="0"/>
    <x v="3"/>
    <x v="2"/>
    <x v="11"/>
    <x v="2"/>
  </r>
  <r>
    <x v="2146"/>
    <x v="1"/>
    <x v="2"/>
    <x v="674"/>
    <n v="214.5"/>
    <x v="78"/>
    <x v="85"/>
    <x v="2"/>
    <x v="0"/>
    <x v="0"/>
    <x v="0"/>
    <x v="3"/>
    <x v="12"/>
    <x v="11"/>
    <x v="2"/>
  </r>
  <r>
    <x v="2147"/>
    <x v="1"/>
    <x v="1"/>
    <x v="897"/>
    <n v="153.19999999999999"/>
    <x v="78"/>
    <x v="78"/>
    <x v="1"/>
    <x v="0"/>
    <x v="2"/>
    <x v="0"/>
    <x v="3"/>
    <x v="7"/>
    <x v="11"/>
    <x v="1"/>
  </r>
  <r>
    <x v="2148"/>
    <x v="12"/>
    <x v="1"/>
    <x v="317"/>
    <n v="174.6"/>
    <x v="78"/>
    <x v="86"/>
    <x v="2"/>
    <x v="3"/>
    <x v="2"/>
    <x v="0"/>
    <x v="3"/>
    <x v="9"/>
    <x v="11"/>
    <x v="2"/>
  </r>
  <r>
    <x v="2149"/>
    <x v="1"/>
    <x v="0"/>
    <x v="94"/>
    <n v="63"/>
    <x v="78"/>
    <x v="79"/>
    <x v="1"/>
    <x v="3"/>
    <x v="0"/>
    <x v="0"/>
    <x v="3"/>
    <x v="2"/>
    <x v="11"/>
    <x v="1"/>
  </r>
  <r>
    <x v="2150"/>
    <x v="8"/>
    <x v="1"/>
    <x v="52"/>
    <n v="83.4"/>
    <x v="78"/>
    <x v="75"/>
    <x v="2"/>
    <x v="4"/>
    <x v="1"/>
    <x v="0"/>
    <x v="43"/>
    <x v="3"/>
    <x v="11"/>
    <x v="2"/>
  </r>
  <r>
    <x v="2151"/>
    <x v="6"/>
    <x v="1"/>
    <x v="164"/>
    <n v="152.19999999999999"/>
    <x v="78"/>
    <x v="78"/>
    <x v="2"/>
    <x v="4"/>
    <x v="2"/>
    <x v="0"/>
    <x v="16"/>
    <x v="7"/>
    <x v="11"/>
    <x v="2"/>
  </r>
  <r>
    <x v="2152"/>
    <x v="13"/>
    <x v="1"/>
    <x v="365"/>
    <n v="57"/>
    <x v="78"/>
    <x v="75"/>
    <x v="2"/>
    <x v="0"/>
    <x v="2"/>
    <x v="0"/>
    <x v="4"/>
    <x v="3"/>
    <x v="11"/>
    <x v="2"/>
  </r>
  <r>
    <x v="2153"/>
    <x v="0"/>
    <x v="12"/>
    <x v="201"/>
    <n v="128.4"/>
    <x v="78"/>
    <x v="75"/>
    <x v="2"/>
    <x v="1"/>
    <x v="2"/>
    <x v="0"/>
    <x v="25"/>
    <x v="3"/>
    <x v="11"/>
    <x v="2"/>
  </r>
  <r>
    <x v="2154"/>
    <x v="4"/>
    <x v="2"/>
    <x v="37"/>
    <n v="117"/>
    <x v="78"/>
    <x v="79"/>
    <x v="1"/>
    <x v="1"/>
    <x v="2"/>
    <x v="0"/>
    <x v="25"/>
    <x v="2"/>
    <x v="11"/>
    <x v="1"/>
  </r>
  <r>
    <x v="2155"/>
    <x v="6"/>
    <x v="0"/>
    <x v="898"/>
    <n v="78.5"/>
    <x v="78"/>
    <x v="75"/>
    <x v="1"/>
    <x v="1"/>
    <x v="0"/>
    <x v="0"/>
    <x v="6"/>
    <x v="3"/>
    <x v="11"/>
    <x v="1"/>
  </r>
  <r>
    <x v="2156"/>
    <x v="4"/>
    <x v="9"/>
    <x v="235"/>
    <n v="248.5"/>
    <x v="78"/>
    <x v="80"/>
    <x v="2"/>
    <x v="0"/>
    <x v="0"/>
    <x v="0"/>
    <x v="6"/>
    <x v="1"/>
    <x v="11"/>
    <x v="2"/>
  </r>
  <r>
    <x v="2157"/>
    <x v="1"/>
    <x v="12"/>
    <x v="657"/>
    <n v="273.60000000000002"/>
    <x v="78"/>
    <x v="75"/>
    <x v="2"/>
    <x v="2"/>
    <x v="2"/>
    <x v="0"/>
    <x v="7"/>
    <x v="3"/>
    <x v="11"/>
    <x v="2"/>
  </r>
  <r>
    <x v="2158"/>
    <x v="3"/>
    <x v="1"/>
    <x v="899"/>
    <n v="145.80000000000001"/>
    <x v="78"/>
    <x v="79"/>
    <x v="0"/>
    <x v="0"/>
    <x v="2"/>
    <x v="0"/>
    <x v="7"/>
    <x v="2"/>
    <x v="11"/>
    <x v="0"/>
  </r>
  <r>
    <x v="2159"/>
    <x v="5"/>
    <x v="15"/>
    <x v="165"/>
    <n v="393.90000000000003"/>
    <x v="78"/>
    <x v="75"/>
    <x v="1"/>
    <x v="4"/>
    <x v="0"/>
    <x v="0"/>
    <x v="7"/>
    <x v="3"/>
    <x v="11"/>
    <x v="1"/>
  </r>
  <r>
    <x v="2160"/>
    <x v="6"/>
    <x v="5"/>
    <x v="787"/>
    <n v="636.9"/>
    <x v="78"/>
    <x v="75"/>
    <x v="2"/>
    <x v="0"/>
    <x v="0"/>
    <x v="0"/>
    <x v="8"/>
    <x v="3"/>
    <x v="11"/>
    <x v="2"/>
  </r>
  <r>
    <x v="2161"/>
    <x v="1"/>
    <x v="0"/>
    <x v="900"/>
    <n v="96.7"/>
    <x v="78"/>
    <x v="75"/>
    <x v="1"/>
    <x v="0"/>
    <x v="0"/>
    <x v="0"/>
    <x v="8"/>
    <x v="3"/>
    <x v="11"/>
    <x v="1"/>
  </r>
  <r>
    <x v="2162"/>
    <x v="8"/>
    <x v="4"/>
    <x v="843"/>
    <n v="331.20000000000005"/>
    <x v="78"/>
    <x v="80"/>
    <x v="1"/>
    <x v="2"/>
    <x v="2"/>
    <x v="0"/>
    <x v="8"/>
    <x v="1"/>
    <x v="11"/>
    <x v="1"/>
  </r>
  <r>
    <x v="2163"/>
    <x v="6"/>
    <x v="12"/>
    <x v="337"/>
    <n v="258.8"/>
    <x v="78"/>
    <x v="78"/>
    <x v="1"/>
    <x v="3"/>
    <x v="2"/>
    <x v="0"/>
    <x v="8"/>
    <x v="7"/>
    <x v="11"/>
    <x v="1"/>
  </r>
  <r>
    <x v="2164"/>
    <x v="10"/>
    <x v="13"/>
    <x v="162"/>
    <n v="183"/>
    <x v="78"/>
    <x v="75"/>
    <x v="1"/>
    <x v="4"/>
    <x v="0"/>
    <x v="0"/>
    <x v="8"/>
    <x v="3"/>
    <x v="11"/>
    <x v="1"/>
  </r>
  <r>
    <x v="2165"/>
    <x v="6"/>
    <x v="47"/>
    <x v="901"/>
    <n v="7420"/>
    <x v="79"/>
    <x v="79"/>
    <x v="1"/>
    <x v="4"/>
    <x v="2"/>
    <x v="0"/>
    <x v="8"/>
    <x v="1"/>
    <x v="11"/>
    <x v="1"/>
  </r>
  <r>
    <x v="2166"/>
    <x v="12"/>
    <x v="9"/>
    <x v="828"/>
    <n v="384"/>
    <x v="79"/>
    <x v="87"/>
    <x v="0"/>
    <x v="1"/>
    <x v="1"/>
    <x v="0"/>
    <x v="18"/>
    <x v="4"/>
    <x v="11"/>
    <x v="0"/>
  </r>
  <r>
    <x v="2167"/>
    <x v="6"/>
    <x v="1"/>
    <x v="902"/>
    <n v="160.80000000000001"/>
    <x v="79"/>
    <x v="80"/>
    <x v="2"/>
    <x v="2"/>
    <x v="0"/>
    <x v="0"/>
    <x v="13"/>
    <x v="3"/>
    <x v="11"/>
    <x v="2"/>
  </r>
  <r>
    <x v="2168"/>
    <x v="6"/>
    <x v="12"/>
    <x v="276"/>
    <n v="276.39999999999998"/>
    <x v="79"/>
    <x v="80"/>
    <x v="1"/>
    <x v="1"/>
    <x v="2"/>
    <x v="0"/>
    <x v="21"/>
    <x v="3"/>
    <x v="11"/>
    <x v="1"/>
  </r>
  <r>
    <x v="2169"/>
    <x v="18"/>
    <x v="1"/>
    <x v="903"/>
    <n v="152.80000000000001"/>
    <x v="79"/>
    <x v="75"/>
    <x v="1"/>
    <x v="3"/>
    <x v="0"/>
    <x v="0"/>
    <x v="21"/>
    <x v="7"/>
    <x v="11"/>
    <x v="1"/>
  </r>
  <r>
    <x v="2170"/>
    <x v="2"/>
    <x v="1"/>
    <x v="148"/>
    <n v="122.6"/>
    <x v="79"/>
    <x v="80"/>
    <x v="2"/>
    <x v="1"/>
    <x v="1"/>
    <x v="0"/>
    <x v="21"/>
    <x v="3"/>
    <x v="11"/>
    <x v="2"/>
  </r>
  <r>
    <x v="2171"/>
    <x v="7"/>
    <x v="0"/>
    <x v="491"/>
    <n v="58"/>
    <x v="79"/>
    <x v="80"/>
    <x v="1"/>
    <x v="3"/>
    <x v="1"/>
    <x v="0"/>
    <x v="1"/>
    <x v="3"/>
    <x v="11"/>
    <x v="1"/>
  </r>
  <r>
    <x v="2172"/>
    <x v="2"/>
    <x v="8"/>
    <x v="904"/>
    <n v="818.4"/>
    <x v="79"/>
    <x v="79"/>
    <x v="1"/>
    <x v="2"/>
    <x v="0"/>
    <x v="0"/>
    <x v="42"/>
    <x v="1"/>
    <x v="11"/>
    <x v="1"/>
  </r>
  <r>
    <x v="2173"/>
    <x v="19"/>
    <x v="1"/>
    <x v="905"/>
    <n v="27.6"/>
    <x v="79"/>
    <x v="80"/>
    <x v="2"/>
    <x v="4"/>
    <x v="2"/>
    <x v="0"/>
    <x v="2"/>
    <x v="3"/>
    <x v="11"/>
    <x v="2"/>
  </r>
  <r>
    <x v="2174"/>
    <x v="8"/>
    <x v="2"/>
    <x v="57"/>
    <n v="99.899999999999991"/>
    <x v="79"/>
    <x v="77"/>
    <x v="2"/>
    <x v="2"/>
    <x v="0"/>
    <x v="0"/>
    <x v="22"/>
    <x v="2"/>
    <x v="11"/>
    <x v="2"/>
  </r>
  <r>
    <x v="2175"/>
    <x v="10"/>
    <x v="0"/>
    <x v="336"/>
    <n v="27.4"/>
    <x v="79"/>
    <x v="77"/>
    <x v="1"/>
    <x v="0"/>
    <x v="2"/>
    <x v="0"/>
    <x v="22"/>
    <x v="2"/>
    <x v="11"/>
    <x v="1"/>
  </r>
  <r>
    <x v="2176"/>
    <x v="14"/>
    <x v="1"/>
    <x v="170"/>
    <n v="51.2"/>
    <x v="79"/>
    <x v="80"/>
    <x v="2"/>
    <x v="1"/>
    <x v="1"/>
    <x v="0"/>
    <x v="3"/>
    <x v="3"/>
    <x v="11"/>
    <x v="2"/>
  </r>
  <r>
    <x v="2177"/>
    <x v="13"/>
    <x v="0"/>
    <x v="277"/>
    <n v="58.4"/>
    <x v="79"/>
    <x v="80"/>
    <x v="2"/>
    <x v="2"/>
    <x v="2"/>
    <x v="0"/>
    <x v="3"/>
    <x v="3"/>
    <x v="11"/>
    <x v="2"/>
  </r>
  <r>
    <x v="2178"/>
    <x v="11"/>
    <x v="17"/>
    <x v="49"/>
    <n v="810"/>
    <x v="79"/>
    <x v="80"/>
    <x v="2"/>
    <x v="4"/>
    <x v="0"/>
    <x v="0"/>
    <x v="3"/>
    <x v="3"/>
    <x v="11"/>
    <x v="2"/>
  </r>
  <r>
    <x v="2179"/>
    <x v="0"/>
    <x v="12"/>
    <x v="270"/>
    <n v="56.8"/>
    <x v="79"/>
    <x v="80"/>
    <x v="1"/>
    <x v="0"/>
    <x v="2"/>
    <x v="0"/>
    <x v="3"/>
    <x v="3"/>
    <x v="11"/>
    <x v="1"/>
  </r>
  <r>
    <x v="2180"/>
    <x v="7"/>
    <x v="1"/>
    <x v="666"/>
    <n v="136"/>
    <x v="79"/>
    <x v="88"/>
    <x v="1"/>
    <x v="2"/>
    <x v="1"/>
    <x v="0"/>
    <x v="3"/>
    <x v="14"/>
    <x v="11"/>
    <x v="1"/>
  </r>
  <r>
    <x v="2181"/>
    <x v="8"/>
    <x v="0"/>
    <x v="630"/>
    <n v="30.7"/>
    <x v="79"/>
    <x v="80"/>
    <x v="1"/>
    <x v="0"/>
    <x v="0"/>
    <x v="0"/>
    <x v="3"/>
    <x v="3"/>
    <x v="11"/>
    <x v="1"/>
  </r>
  <r>
    <x v="2182"/>
    <x v="17"/>
    <x v="15"/>
    <x v="728"/>
    <n v="670.80000000000007"/>
    <x v="79"/>
    <x v="77"/>
    <x v="3"/>
    <x v="1"/>
    <x v="2"/>
    <x v="0"/>
    <x v="3"/>
    <x v="2"/>
    <x v="11"/>
    <x v="3"/>
  </r>
  <r>
    <x v="2183"/>
    <x v="8"/>
    <x v="2"/>
    <x v="468"/>
    <n v="61.800000000000004"/>
    <x v="79"/>
    <x v="82"/>
    <x v="2"/>
    <x v="4"/>
    <x v="2"/>
    <x v="0"/>
    <x v="3"/>
    <x v="5"/>
    <x v="11"/>
    <x v="2"/>
  </r>
  <r>
    <x v="2184"/>
    <x v="8"/>
    <x v="0"/>
    <x v="486"/>
    <n v="24.8"/>
    <x v="79"/>
    <x v="80"/>
    <x v="1"/>
    <x v="4"/>
    <x v="0"/>
    <x v="0"/>
    <x v="3"/>
    <x v="3"/>
    <x v="11"/>
    <x v="1"/>
  </r>
  <r>
    <x v="2185"/>
    <x v="0"/>
    <x v="3"/>
    <x v="408"/>
    <n v="78.399999999999991"/>
    <x v="79"/>
    <x v="77"/>
    <x v="1"/>
    <x v="1"/>
    <x v="0"/>
    <x v="0"/>
    <x v="3"/>
    <x v="2"/>
    <x v="11"/>
    <x v="1"/>
  </r>
  <r>
    <x v="2186"/>
    <x v="11"/>
    <x v="1"/>
    <x v="440"/>
    <n v="102.4"/>
    <x v="79"/>
    <x v="80"/>
    <x v="2"/>
    <x v="1"/>
    <x v="2"/>
    <x v="0"/>
    <x v="3"/>
    <x v="3"/>
    <x v="11"/>
    <x v="2"/>
  </r>
  <r>
    <x v="2187"/>
    <x v="7"/>
    <x v="13"/>
    <x v="411"/>
    <n v="543"/>
    <x v="79"/>
    <x v="80"/>
    <x v="2"/>
    <x v="1"/>
    <x v="4"/>
    <x v="0"/>
    <x v="3"/>
    <x v="3"/>
    <x v="11"/>
    <x v="2"/>
  </r>
  <r>
    <x v="2188"/>
    <x v="1"/>
    <x v="1"/>
    <x v="394"/>
    <n v="84.8"/>
    <x v="79"/>
    <x v="80"/>
    <x v="1"/>
    <x v="1"/>
    <x v="2"/>
    <x v="0"/>
    <x v="4"/>
    <x v="3"/>
    <x v="11"/>
    <x v="1"/>
  </r>
  <r>
    <x v="2189"/>
    <x v="1"/>
    <x v="1"/>
    <x v="751"/>
    <n v="76.400000000000006"/>
    <x v="79"/>
    <x v="80"/>
    <x v="1"/>
    <x v="0"/>
    <x v="0"/>
    <x v="0"/>
    <x v="5"/>
    <x v="3"/>
    <x v="11"/>
    <x v="1"/>
  </r>
  <r>
    <x v="2190"/>
    <x v="2"/>
    <x v="11"/>
    <x v="906"/>
    <n v="1091.7"/>
    <x v="79"/>
    <x v="81"/>
    <x v="1"/>
    <x v="0"/>
    <x v="0"/>
    <x v="0"/>
    <x v="6"/>
    <x v="0"/>
    <x v="11"/>
    <x v="1"/>
  </r>
  <r>
    <x v="2191"/>
    <x v="6"/>
    <x v="1"/>
    <x v="528"/>
    <n v="93.8"/>
    <x v="79"/>
    <x v="86"/>
    <x v="1"/>
    <x v="0"/>
    <x v="0"/>
    <x v="0"/>
    <x v="8"/>
    <x v="6"/>
    <x v="11"/>
    <x v="1"/>
  </r>
  <r>
    <x v="2192"/>
    <x v="10"/>
    <x v="0"/>
    <x v="6"/>
    <n v="55.3"/>
    <x v="79"/>
    <x v="79"/>
    <x v="1"/>
    <x v="0"/>
    <x v="0"/>
    <x v="0"/>
    <x v="8"/>
    <x v="1"/>
    <x v="11"/>
    <x v="1"/>
  </r>
  <r>
    <x v="2193"/>
    <x v="2"/>
    <x v="2"/>
    <x v="431"/>
    <n v="211.79999999999998"/>
    <x v="80"/>
    <x v="80"/>
    <x v="2"/>
    <x v="0"/>
    <x v="1"/>
    <x v="0"/>
    <x v="8"/>
    <x v="7"/>
    <x v="11"/>
    <x v="2"/>
  </r>
  <r>
    <x v="2194"/>
    <x v="14"/>
    <x v="12"/>
    <x v="615"/>
    <n v="104.4"/>
    <x v="80"/>
    <x v="77"/>
    <x v="1"/>
    <x v="0"/>
    <x v="0"/>
    <x v="0"/>
    <x v="8"/>
    <x v="1"/>
    <x v="11"/>
    <x v="1"/>
  </r>
  <r>
    <x v="2195"/>
    <x v="9"/>
    <x v="5"/>
    <x v="176"/>
    <n v="379.5"/>
    <x v="80"/>
    <x v="81"/>
    <x v="1"/>
    <x v="2"/>
    <x v="0"/>
    <x v="0"/>
    <x v="17"/>
    <x v="5"/>
    <x v="11"/>
    <x v="1"/>
  </r>
  <r>
    <x v="2196"/>
    <x v="1"/>
    <x v="1"/>
    <x v="58"/>
    <n v="128.4"/>
    <x v="80"/>
    <x v="79"/>
    <x v="2"/>
    <x v="0"/>
    <x v="1"/>
    <x v="0"/>
    <x v="17"/>
    <x v="3"/>
    <x v="11"/>
    <x v="2"/>
  </r>
  <r>
    <x v="2197"/>
    <x v="2"/>
    <x v="12"/>
    <x v="907"/>
    <n v="582.79999999999995"/>
    <x v="80"/>
    <x v="79"/>
    <x v="2"/>
    <x v="0"/>
    <x v="4"/>
    <x v="0"/>
    <x v="17"/>
    <x v="3"/>
    <x v="11"/>
    <x v="2"/>
  </r>
  <r>
    <x v="2198"/>
    <x v="12"/>
    <x v="1"/>
    <x v="898"/>
    <n v="157"/>
    <x v="80"/>
    <x v="79"/>
    <x v="1"/>
    <x v="2"/>
    <x v="0"/>
    <x v="0"/>
    <x v="26"/>
    <x v="3"/>
    <x v="11"/>
    <x v="1"/>
  </r>
  <r>
    <x v="2199"/>
    <x v="1"/>
    <x v="0"/>
    <x v="120"/>
    <n v="34.200000000000003"/>
    <x v="80"/>
    <x v="77"/>
    <x v="1"/>
    <x v="0"/>
    <x v="0"/>
    <x v="0"/>
    <x v="9"/>
    <x v="1"/>
    <x v="11"/>
    <x v="1"/>
  </r>
  <r>
    <x v="2200"/>
    <x v="19"/>
    <x v="0"/>
    <x v="457"/>
    <n v="26.2"/>
    <x v="80"/>
    <x v="79"/>
    <x v="1"/>
    <x v="2"/>
    <x v="0"/>
    <x v="0"/>
    <x v="9"/>
    <x v="3"/>
    <x v="11"/>
    <x v="1"/>
  </r>
  <r>
    <x v="2201"/>
    <x v="6"/>
    <x v="12"/>
    <x v="459"/>
    <n v="212.8"/>
    <x v="80"/>
    <x v="79"/>
    <x v="1"/>
    <x v="1"/>
    <x v="1"/>
    <x v="0"/>
    <x v="11"/>
    <x v="3"/>
    <x v="11"/>
    <x v="1"/>
  </r>
  <r>
    <x v="2202"/>
    <x v="1"/>
    <x v="0"/>
    <x v="908"/>
    <n v="35.4"/>
    <x v="80"/>
    <x v="81"/>
    <x v="1"/>
    <x v="1"/>
    <x v="4"/>
    <x v="0"/>
    <x v="18"/>
    <x v="5"/>
    <x v="11"/>
    <x v="1"/>
  </r>
  <r>
    <x v="2203"/>
    <x v="14"/>
    <x v="1"/>
    <x v="210"/>
    <n v="42.6"/>
    <x v="80"/>
    <x v="79"/>
    <x v="1"/>
    <x v="2"/>
    <x v="0"/>
    <x v="0"/>
    <x v="20"/>
    <x v="3"/>
    <x v="11"/>
    <x v="1"/>
  </r>
  <r>
    <x v="2204"/>
    <x v="8"/>
    <x v="12"/>
    <x v="619"/>
    <n v="131.6"/>
    <x v="80"/>
    <x v="82"/>
    <x v="2"/>
    <x v="4"/>
    <x v="2"/>
    <x v="0"/>
    <x v="21"/>
    <x v="2"/>
    <x v="11"/>
    <x v="2"/>
  </r>
  <r>
    <x v="2205"/>
    <x v="5"/>
    <x v="20"/>
    <x v="909"/>
    <n v="1282.5"/>
    <x v="80"/>
    <x v="77"/>
    <x v="2"/>
    <x v="3"/>
    <x v="1"/>
    <x v="0"/>
    <x v="21"/>
    <x v="1"/>
    <x v="11"/>
    <x v="2"/>
  </r>
  <r>
    <x v="2206"/>
    <x v="4"/>
    <x v="0"/>
    <x v="48"/>
    <n v="26.8"/>
    <x v="80"/>
    <x v="79"/>
    <x v="2"/>
    <x v="0"/>
    <x v="1"/>
    <x v="0"/>
    <x v="2"/>
    <x v="3"/>
    <x v="11"/>
    <x v="2"/>
  </r>
  <r>
    <x v="2207"/>
    <x v="9"/>
    <x v="18"/>
    <x v="132"/>
    <n v="824.19999999999993"/>
    <x v="80"/>
    <x v="80"/>
    <x v="2"/>
    <x v="3"/>
    <x v="0"/>
    <x v="0"/>
    <x v="2"/>
    <x v="7"/>
    <x v="11"/>
    <x v="2"/>
  </r>
  <r>
    <x v="2208"/>
    <x v="1"/>
    <x v="1"/>
    <x v="158"/>
    <n v="156.6"/>
    <x v="80"/>
    <x v="77"/>
    <x v="2"/>
    <x v="1"/>
    <x v="1"/>
    <x v="0"/>
    <x v="3"/>
    <x v="1"/>
    <x v="11"/>
    <x v="2"/>
  </r>
  <r>
    <x v="2209"/>
    <x v="6"/>
    <x v="0"/>
    <x v="910"/>
    <n v="43.9"/>
    <x v="80"/>
    <x v="79"/>
    <x v="1"/>
    <x v="0"/>
    <x v="0"/>
    <x v="0"/>
    <x v="3"/>
    <x v="3"/>
    <x v="11"/>
    <x v="1"/>
  </r>
  <r>
    <x v="2210"/>
    <x v="18"/>
    <x v="2"/>
    <x v="726"/>
    <n v="252"/>
    <x v="80"/>
    <x v="77"/>
    <x v="0"/>
    <x v="3"/>
    <x v="2"/>
    <x v="0"/>
    <x v="3"/>
    <x v="1"/>
    <x v="11"/>
    <x v="0"/>
  </r>
  <r>
    <x v="2211"/>
    <x v="0"/>
    <x v="2"/>
    <x v="370"/>
    <n v="34.200000000000003"/>
    <x v="80"/>
    <x v="79"/>
    <x v="1"/>
    <x v="4"/>
    <x v="0"/>
    <x v="0"/>
    <x v="3"/>
    <x v="3"/>
    <x v="11"/>
    <x v="1"/>
  </r>
  <r>
    <x v="2212"/>
    <x v="12"/>
    <x v="8"/>
    <x v="356"/>
    <n v="380"/>
    <x v="80"/>
    <x v="89"/>
    <x v="2"/>
    <x v="0"/>
    <x v="0"/>
    <x v="0"/>
    <x v="3"/>
    <x v="9"/>
    <x v="11"/>
    <x v="2"/>
  </r>
  <r>
    <x v="2213"/>
    <x v="9"/>
    <x v="5"/>
    <x v="93"/>
    <n v="555.5"/>
    <x v="80"/>
    <x v="77"/>
    <x v="1"/>
    <x v="2"/>
    <x v="0"/>
    <x v="0"/>
    <x v="3"/>
    <x v="1"/>
    <x v="11"/>
    <x v="1"/>
  </r>
  <r>
    <x v="2214"/>
    <x v="15"/>
    <x v="0"/>
    <x v="791"/>
    <n v="36.299999999999997"/>
    <x v="80"/>
    <x v="82"/>
    <x v="3"/>
    <x v="0"/>
    <x v="1"/>
    <x v="0"/>
    <x v="8"/>
    <x v="2"/>
    <x v="11"/>
    <x v="3"/>
  </r>
  <r>
    <x v="2215"/>
    <x v="8"/>
    <x v="1"/>
    <x v="908"/>
    <n v="70.8"/>
    <x v="80"/>
    <x v="79"/>
    <x v="2"/>
    <x v="0"/>
    <x v="0"/>
    <x v="0"/>
    <x v="17"/>
    <x v="3"/>
    <x v="11"/>
    <x v="2"/>
  </r>
  <r>
    <x v="2216"/>
    <x v="1"/>
    <x v="2"/>
    <x v="206"/>
    <n v="137.69999999999999"/>
    <x v="81"/>
    <x v="77"/>
    <x v="1"/>
    <x v="3"/>
    <x v="0"/>
    <x v="0"/>
    <x v="9"/>
    <x v="3"/>
    <x v="12"/>
    <x v="1"/>
  </r>
  <r>
    <x v="2217"/>
    <x v="6"/>
    <x v="7"/>
    <x v="387"/>
    <n v="412"/>
    <x v="81"/>
    <x v="87"/>
    <x v="1"/>
    <x v="0"/>
    <x v="0"/>
    <x v="0"/>
    <x v="11"/>
    <x v="5"/>
    <x v="12"/>
    <x v="1"/>
  </r>
  <r>
    <x v="2218"/>
    <x v="17"/>
    <x v="1"/>
    <x v="226"/>
    <n v="90.2"/>
    <x v="81"/>
    <x v="77"/>
    <x v="1"/>
    <x v="1"/>
    <x v="1"/>
    <x v="0"/>
    <x v="21"/>
    <x v="3"/>
    <x v="12"/>
    <x v="1"/>
  </r>
  <r>
    <x v="2219"/>
    <x v="6"/>
    <x v="7"/>
    <x v="305"/>
    <n v="636"/>
    <x v="81"/>
    <x v="79"/>
    <x v="1"/>
    <x v="2"/>
    <x v="0"/>
    <x v="0"/>
    <x v="1"/>
    <x v="7"/>
    <x v="12"/>
    <x v="1"/>
  </r>
  <r>
    <x v="2220"/>
    <x v="8"/>
    <x v="0"/>
    <x v="911"/>
    <n v="70.5"/>
    <x v="81"/>
    <x v="77"/>
    <x v="1"/>
    <x v="0"/>
    <x v="0"/>
    <x v="0"/>
    <x v="3"/>
    <x v="3"/>
    <x v="12"/>
    <x v="1"/>
  </r>
  <r>
    <x v="2221"/>
    <x v="6"/>
    <x v="0"/>
    <x v="397"/>
    <n v="41.3"/>
    <x v="81"/>
    <x v="79"/>
    <x v="1"/>
    <x v="4"/>
    <x v="0"/>
    <x v="0"/>
    <x v="3"/>
    <x v="7"/>
    <x v="12"/>
    <x v="1"/>
  </r>
  <r>
    <x v="2222"/>
    <x v="4"/>
    <x v="0"/>
    <x v="341"/>
    <n v="35.299999999999997"/>
    <x v="81"/>
    <x v="81"/>
    <x v="2"/>
    <x v="4"/>
    <x v="2"/>
    <x v="0"/>
    <x v="3"/>
    <x v="2"/>
    <x v="12"/>
    <x v="2"/>
  </r>
  <r>
    <x v="2223"/>
    <x v="8"/>
    <x v="9"/>
    <x v="267"/>
    <n v="173.5"/>
    <x v="81"/>
    <x v="77"/>
    <x v="2"/>
    <x v="0"/>
    <x v="2"/>
    <x v="0"/>
    <x v="3"/>
    <x v="3"/>
    <x v="12"/>
    <x v="2"/>
  </r>
  <r>
    <x v="2224"/>
    <x v="8"/>
    <x v="2"/>
    <x v="615"/>
    <n v="78.300000000000011"/>
    <x v="81"/>
    <x v="77"/>
    <x v="2"/>
    <x v="0"/>
    <x v="0"/>
    <x v="0"/>
    <x v="3"/>
    <x v="3"/>
    <x v="12"/>
    <x v="2"/>
  </r>
  <r>
    <x v="2225"/>
    <x v="9"/>
    <x v="9"/>
    <x v="351"/>
    <n v="113"/>
    <x v="81"/>
    <x v="79"/>
    <x v="2"/>
    <x v="1"/>
    <x v="2"/>
    <x v="0"/>
    <x v="3"/>
    <x v="7"/>
    <x v="12"/>
    <x v="2"/>
  </r>
  <r>
    <x v="2226"/>
    <x v="2"/>
    <x v="1"/>
    <x v="912"/>
    <n v="308.8"/>
    <x v="81"/>
    <x v="81"/>
    <x v="1"/>
    <x v="1"/>
    <x v="1"/>
    <x v="0"/>
    <x v="3"/>
    <x v="2"/>
    <x v="12"/>
    <x v="1"/>
  </r>
  <r>
    <x v="2227"/>
    <x v="8"/>
    <x v="1"/>
    <x v="856"/>
    <n v="36.799999999999997"/>
    <x v="81"/>
    <x v="77"/>
    <x v="1"/>
    <x v="0"/>
    <x v="0"/>
    <x v="0"/>
    <x v="3"/>
    <x v="3"/>
    <x v="12"/>
    <x v="1"/>
  </r>
  <r>
    <x v="2228"/>
    <x v="14"/>
    <x v="0"/>
    <x v="769"/>
    <n v="25"/>
    <x v="81"/>
    <x v="81"/>
    <x v="2"/>
    <x v="0"/>
    <x v="0"/>
    <x v="0"/>
    <x v="3"/>
    <x v="2"/>
    <x v="12"/>
    <x v="2"/>
  </r>
  <r>
    <x v="2229"/>
    <x v="2"/>
    <x v="13"/>
    <x v="339"/>
    <n v="633.59999999999991"/>
    <x v="81"/>
    <x v="79"/>
    <x v="2"/>
    <x v="0"/>
    <x v="0"/>
    <x v="0"/>
    <x v="3"/>
    <x v="7"/>
    <x v="12"/>
    <x v="2"/>
  </r>
  <r>
    <x v="2230"/>
    <x v="18"/>
    <x v="8"/>
    <x v="684"/>
    <n v="476.8"/>
    <x v="81"/>
    <x v="79"/>
    <x v="2"/>
    <x v="0"/>
    <x v="2"/>
    <x v="0"/>
    <x v="23"/>
    <x v="7"/>
    <x v="12"/>
    <x v="2"/>
  </r>
  <r>
    <x v="2231"/>
    <x v="15"/>
    <x v="2"/>
    <x v="913"/>
    <n v="226.20000000000002"/>
    <x v="81"/>
    <x v="86"/>
    <x v="1"/>
    <x v="0"/>
    <x v="1"/>
    <x v="0"/>
    <x v="7"/>
    <x v="0"/>
    <x v="12"/>
    <x v="1"/>
  </r>
  <r>
    <x v="2232"/>
    <x v="7"/>
    <x v="0"/>
    <x v="653"/>
    <n v="104.4"/>
    <x v="81"/>
    <x v="77"/>
    <x v="2"/>
    <x v="0"/>
    <x v="0"/>
    <x v="0"/>
    <x v="8"/>
    <x v="3"/>
    <x v="12"/>
    <x v="2"/>
  </r>
  <r>
    <x v="2233"/>
    <x v="2"/>
    <x v="7"/>
    <x v="914"/>
    <n v="2082"/>
    <x v="81"/>
    <x v="77"/>
    <x v="1"/>
    <x v="0"/>
    <x v="2"/>
    <x v="0"/>
    <x v="8"/>
    <x v="3"/>
    <x v="12"/>
    <x v="1"/>
  </r>
  <r>
    <x v="2234"/>
    <x v="6"/>
    <x v="1"/>
    <x v="303"/>
    <n v="90"/>
    <x v="81"/>
    <x v="81"/>
    <x v="2"/>
    <x v="0"/>
    <x v="0"/>
    <x v="0"/>
    <x v="10"/>
    <x v="2"/>
    <x v="12"/>
    <x v="2"/>
  </r>
  <r>
    <x v="2235"/>
    <x v="15"/>
    <x v="1"/>
    <x v="127"/>
    <n v="40.6"/>
    <x v="82"/>
    <x v="81"/>
    <x v="0"/>
    <x v="1"/>
    <x v="0"/>
    <x v="0"/>
    <x v="11"/>
    <x v="1"/>
    <x v="12"/>
    <x v="0"/>
  </r>
  <r>
    <x v="2236"/>
    <x v="2"/>
    <x v="2"/>
    <x v="482"/>
    <n v="283.20000000000005"/>
    <x v="82"/>
    <x v="82"/>
    <x v="2"/>
    <x v="0"/>
    <x v="2"/>
    <x v="0"/>
    <x v="11"/>
    <x v="3"/>
    <x v="12"/>
    <x v="2"/>
  </r>
  <r>
    <x v="2237"/>
    <x v="9"/>
    <x v="0"/>
    <x v="11"/>
    <n v="49"/>
    <x v="82"/>
    <x v="81"/>
    <x v="2"/>
    <x v="0"/>
    <x v="2"/>
    <x v="0"/>
    <x v="20"/>
    <x v="1"/>
    <x v="12"/>
    <x v="2"/>
  </r>
  <r>
    <x v="2238"/>
    <x v="4"/>
    <x v="1"/>
    <x v="295"/>
    <n v="54.4"/>
    <x v="82"/>
    <x v="81"/>
    <x v="1"/>
    <x v="0"/>
    <x v="2"/>
    <x v="0"/>
    <x v="1"/>
    <x v="1"/>
    <x v="12"/>
    <x v="1"/>
  </r>
  <r>
    <x v="2239"/>
    <x v="2"/>
    <x v="13"/>
    <x v="559"/>
    <n v="435.59999999999997"/>
    <x v="82"/>
    <x v="82"/>
    <x v="2"/>
    <x v="0"/>
    <x v="2"/>
    <x v="0"/>
    <x v="2"/>
    <x v="3"/>
    <x v="12"/>
    <x v="2"/>
  </r>
  <r>
    <x v="2240"/>
    <x v="15"/>
    <x v="12"/>
    <x v="470"/>
    <n v="249.6"/>
    <x v="82"/>
    <x v="82"/>
    <x v="2"/>
    <x v="0"/>
    <x v="0"/>
    <x v="0"/>
    <x v="3"/>
    <x v="3"/>
    <x v="12"/>
    <x v="2"/>
  </r>
  <r>
    <x v="2241"/>
    <x v="8"/>
    <x v="2"/>
    <x v="30"/>
    <n v="57.300000000000004"/>
    <x v="82"/>
    <x v="81"/>
    <x v="1"/>
    <x v="0"/>
    <x v="1"/>
    <x v="0"/>
    <x v="3"/>
    <x v="1"/>
    <x v="12"/>
    <x v="1"/>
  </r>
  <r>
    <x v="2242"/>
    <x v="10"/>
    <x v="0"/>
    <x v="686"/>
    <n v="29.6"/>
    <x v="82"/>
    <x v="86"/>
    <x v="1"/>
    <x v="0"/>
    <x v="4"/>
    <x v="0"/>
    <x v="3"/>
    <x v="5"/>
    <x v="12"/>
    <x v="1"/>
  </r>
  <r>
    <x v="2243"/>
    <x v="8"/>
    <x v="1"/>
    <x v="104"/>
    <n v="37.799999999999997"/>
    <x v="82"/>
    <x v="81"/>
    <x v="2"/>
    <x v="4"/>
    <x v="2"/>
    <x v="0"/>
    <x v="3"/>
    <x v="1"/>
    <x v="12"/>
    <x v="2"/>
  </r>
  <r>
    <x v="2244"/>
    <x v="10"/>
    <x v="9"/>
    <x v="50"/>
    <n v="207"/>
    <x v="82"/>
    <x v="82"/>
    <x v="1"/>
    <x v="3"/>
    <x v="0"/>
    <x v="0"/>
    <x v="3"/>
    <x v="3"/>
    <x v="12"/>
    <x v="1"/>
  </r>
  <r>
    <x v="2245"/>
    <x v="2"/>
    <x v="0"/>
    <x v="915"/>
    <n v="118.4"/>
    <x v="82"/>
    <x v="82"/>
    <x v="2"/>
    <x v="0"/>
    <x v="2"/>
    <x v="0"/>
    <x v="3"/>
    <x v="3"/>
    <x v="12"/>
    <x v="2"/>
  </r>
  <r>
    <x v="2246"/>
    <x v="2"/>
    <x v="1"/>
    <x v="916"/>
    <n v="250.6"/>
    <x v="82"/>
    <x v="87"/>
    <x v="2"/>
    <x v="0"/>
    <x v="2"/>
    <x v="0"/>
    <x v="3"/>
    <x v="2"/>
    <x v="12"/>
    <x v="2"/>
  </r>
  <r>
    <x v="2247"/>
    <x v="3"/>
    <x v="1"/>
    <x v="449"/>
    <n v="171.6"/>
    <x v="82"/>
    <x v="82"/>
    <x v="2"/>
    <x v="1"/>
    <x v="4"/>
    <x v="0"/>
    <x v="3"/>
    <x v="3"/>
    <x v="12"/>
    <x v="2"/>
  </r>
  <r>
    <x v="2248"/>
    <x v="6"/>
    <x v="0"/>
    <x v="236"/>
    <n v="44.2"/>
    <x v="82"/>
    <x v="87"/>
    <x v="1"/>
    <x v="1"/>
    <x v="0"/>
    <x v="0"/>
    <x v="3"/>
    <x v="2"/>
    <x v="12"/>
    <x v="1"/>
  </r>
  <r>
    <x v="2249"/>
    <x v="5"/>
    <x v="12"/>
    <x v="746"/>
    <n v="296.39999999999998"/>
    <x v="82"/>
    <x v="81"/>
    <x v="2"/>
    <x v="0"/>
    <x v="0"/>
    <x v="0"/>
    <x v="3"/>
    <x v="1"/>
    <x v="12"/>
    <x v="2"/>
  </r>
  <r>
    <x v="2250"/>
    <x v="8"/>
    <x v="0"/>
    <x v="601"/>
    <n v="33.799999999999997"/>
    <x v="82"/>
    <x v="82"/>
    <x v="2"/>
    <x v="2"/>
    <x v="2"/>
    <x v="0"/>
    <x v="24"/>
    <x v="3"/>
    <x v="12"/>
    <x v="2"/>
  </r>
  <r>
    <x v="2251"/>
    <x v="1"/>
    <x v="1"/>
    <x v="644"/>
    <n v="78.2"/>
    <x v="82"/>
    <x v="82"/>
    <x v="1"/>
    <x v="0"/>
    <x v="1"/>
    <x v="0"/>
    <x v="24"/>
    <x v="3"/>
    <x v="12"/>
    <x v="1"/>
  </r>
  <r>
    <x v="2252"/>
    <x v="0"/>
    <x v="0"/>
    <x v="790"/>
    <n v="37.200000000000003"/>
    <x v="82"/>
    <x v="82"/>
    <x v="1"/>
    <x v="0"/>
    <x v="1"/>
    <x v="0"/>
    <x v="16"/>
    <x v="3"/>
    <x v="12"/>
    <x v="1"/>
  </r>
  <r>
    <x v="2253"/>
    <x v="15"/>
    <x v="2"/>
    <x v="412"/>
    <n v="101.69999999999999"/>
    <x v="82"/>
    <x v="81"/>
    <x v="1"/>
    <x v="2"/>
    <x v="0"/>
    <x v="0"/>
    <x v="6"/>
    <x v="1"/>
    <x v="12"/>
    <x v="1"/>
  </r>
  <r>
    <x v="2254"/>
    <x v="7"/>
    <x v="20"/>
    <x v="651"/>
    <n v="1099.5"/>
    <x v="82"/>
    <x v="87"/>
    <x v="2"/>
    <x v="2"/>
    <x v="1"/>
    <x v="0"/>
    <x v="8"/>
    <x v="2"/>
    <x v="12"/>
    <x v="2"/>
  </r>
  <r>
    <x v="2255"/>
    <x v="8"/>
    <x v="12"/>
    <x v="775"/>
    <n v="140"/>
    <x v="82"/>
    <x v="81"/>
    <x v="2"/>
    <x v="1"/>
    <x v="0"/>
    <x v="0"/>
    <x v="8"/>
    <x v="1"/>
    <x v="12"/>
    <x v="2"/>
  </r>
  <r>
    <x v="2256"/>
    <x v="0"/>
    <x v="2"/>
    <x v="597"/>
    <n v="66.599999999999994"/>
    <x v="82"/>
    <x v="82"/>
    <x v="1"/>
    <x v="1"/>
    <x v="0"/>
    <x v="0"/>
    <x v="17"/>
    <x v="3"/>
    <x v="12"/>
    <x v="1"/>
  </r>
  <r>
    <x v="2257"/>
    <x v="10"/>
    <x v="0"/>
    <x v="498"/>
    <n v="32.4"/>
    <x v="82"/>
    <x v="82"/>
    <x v="2"/>
    <x v="0"/>
    <x v="0"/>
    <x v="0"/>
    <x v="11"/>
    <x v="3"/>
    <x v="12"/>
    <x v="2"/>
  </r>
  <r>
    <x v="2258"/>
    <x v="5"/>
    <x v="2"/>
    <x v="13"/>
    <n v="265.20000000000005"/>
    <x v="83"/>
    <x v="87"/>
    <x v="2"/>
    <x v="1"/>
    <x v="1"/>
    <x v="0"/>
    <x v="11"/>
    <x v="1"/>
    <x v="12"/>
    <x v="2"/>
  </r>
  <r>
    <x v="2259"/>
    <x v="5"/>
    <x v="27"/>
    <x v="162"/>
    <n v="488"/>
    <x v="83"/>
    <x v="81"/>
    <x v="2"/>
    <x v="2"/>
    <x v="0"/>
    <x v="0"/>
    <x v="11"/>
    <x v="3"/>
    <x v="12"/>
    <x v="2"/>
  </r>
  <r>
    <x v="2260"/>
    <x v="1"/>
    <x v="13"/>
    <x v="202"/>
    <n v="228.60000000000002"/>
    <x v="83"/>
    <x v="87"/>
    <x v="2"/>
    <x v="0"/>
    <x v="1"/>
    <x v="0"/>
    <x v="11"/>
    <x v="1"/>
    <x v="12"/>
    <x v="2"/>
  </r>
  <r>
    <x v="2261"/>
    <x v="10"/>
    <x v="9"/>
    <x v="410"/>
    <n v="188"/>
    <x v="83"/>
    <x v="90"/>
    <x v="1"/>
    <x v="0"/>
    <x v="0"/>
    <x v="0"/>
    <x v="11"/>
    <x v="5"/>
    <x v="12"/>
    <x v="1"/>
  </r>
  <r>
    <x v="2262"/>
    <x v="15"/>
    <x v="1"/>
    <x v="541"/>
    <n v="62.8"/>
    <x v="83"/>
    <x v="81"/>
    <x v="1"/>
    <x v="0"/>
    <x v="2"/>
    <x v="0"/>
    <x v="11"/>
    <x v="3"/>
    <x v="12"/>
    <x v="1"/>
  </r>
  <r>
    <x v="2263"/>
    <x v="6"/>
    <x v="1"/>
    <x v="89"/>
    <n v="123"/>
    <x v="83"/>
    <x v="81"/>
    <x v="1"/>
    <x v="3"/>
    <x v="0"/>
    <x v="0"/>
    <x v="31"/>
    <x v="3"/>
    <x v="12"/>
    <x v="1"/>
  </r>
  <r>
    <x v="2264"/>
    <x v="6"/>
    <x v="0"/>
    <x v="559"/>
    <n v="72.599999999999994"/>
    <x v="83"/>
    <x v="81"/>
    <x v="1"/>
    <x v="0"/>
    <x v="1"/>
    <x v="0"/>
    <x v="21"/>
    <x v="3"/>
    <x v="12"/>
    <x v="1"/>
  </r>
  <r>
    <x v="2265"/>
    <x v="9"/>
    <x v="2"/>
    <x v="436"/>
    <n v="80.699999999999989"/>
    <x v="83"/>
    <x v="89"/>
    <x v="3"/>
    <x v="4"/>
    <x v="1"/>
    <x v="0"/>
    <x v="46"/>
    <x v="0"/>
    <x v="12"/>
    <x v="3"/>
  </r>
  <r>
    <x v="2266"/>
    <x v="17"/>
    <x v="4"/>
    <x v="647"/>
    <n v="352.79999999999995"/>
    <x v="83"/>
    <x v="81"/>
    <x v="2"/>
    <x v="1"/>
    <x v="0"/>
    <x v="0"/>
    <x v="51"/>
    <x v="3"/>
    <x v="12"/>
    <x v="2"/>
  </r>
  <r>
    <x v="2267"/>
    <x v="17"/>
    <x v="1"/>
    <x v="624"/>
    <n v="84.2"/>
    <x v="83"/>
    <x v="81"/>
    <x v="2"/>
    <x v="3"/>
    <x v="1"/>
    <x v="0"/>
    <x v="1"/>
    <x v="3"/>
    <x v="12"/>
    <x v="2"/>
  </r>
  <r>
    <x v="2268"/>
    <x v="5"/>
    <x v="0"/>
    <x v="145"/>
    <n v="40.5"/>
    <x v="83"/>
    <x v="81"/>
    <x v="2"/>
    <x v="2"/>
    <x v="1"/>
    <x v="0"/>
    <x v="1"/>
    <x v="3"/>
    <x v="12"/>
    <x v="2"/>
  </r>
  <r>
    <x v="2269"/>
    <x v="2"/>
    <x v="12"/>
    <x v="917"/>
    <n v="729.2"/>
    <x v="83"/>
    <x v="81"/>
    <x v="2"/>
    <x v="1"/>
    <x v="0"/>
    <x v="0"/>
    <x v="1"/>
    <x v="3"/>
    <x v="12"/>
    <x v="2"/>
  </r>
  <r>
    <x v="2270"/>
    <x v="2"/>
    <x v="9"/>
    <x v="891"/>
    <n v="785"/>
    <x v="83"/>
    <x v="86"/>
    <x v="2"/>
    <x v="1"/>
    <x v="2"/>
    <x v="0"/>
    <x v="2"/>
    <x v="2"/>
    <x v="12"/>
    <x v="2"/>
  </r>
  <r>
    <x v="2271"/>
    <x v="17"/>
    <x v="9"/>
    <x v="291"/>
    <n v="226"/>
    <x v="83"/>
    <x v="86"/>
    <x v="2"/>
    <x v="1"/>
    <x v="0"/>
    <x v="0"/>
    <x v="22"/>
    <x v="2"/>
    <x v="12"/>
    <x v="2"/>
  </r>
  <r>
    <x v="2272"/>
    <x v="15"/>
    <x v="12"/>
    <x v="336"/>
    <n v="109.6"/>
    <x v="83"/>
    <x v="87"/>
    <x v="2"/>
    <x v="0"/>
    <x v="0"/>
    <x v="0"/>
    <x v="3"/>
    <x v="1"/>
    <x v="12"/>
    <x v="2"/>
  </r>
  <r>
    <x v="2273"/>
    <x v="5"/>
    <x v="9"/>
    <x v="268"/>
    <n v="170.5"/>
    <x v="83"/>
    <x v="87"/>
    <x v="1"/>
    <x v="0"/>
    <x v="2"/>
    <x v="0"/>
    <x v="3"/>
    <x v="1"/>
    <x v="12"/>
    <x v="1"/>
  </r>
  <r>
    <x v="2274"/>
    <x v="0"/>
    <x v="1"/>
    <x v="269"/>
    <n v="52"/>
    <x v="83"/>
    <x v="87"/>
    <x v="1"/>
    <x v="2"/>
    <x v="1"/>
    <x v="0"/>
    <x v="3"/>
    <x v="1"/>
    <x v="12"/>
    <x v="1"/>
  </r>
  <r>
    <x v="2275"/>
    <x v="8"/>
    <x v="3"/>
    <x v="918"/>
    <n v="135.79999999999998"/>
    <x v="83"/>
    <x v="87"/>
    <x v="0"/>
    <x v="1"/>
    <x v="1"/>
    <x v="0"/>
    <x v="3"/>
    <x v="1"/>
    <x v="12"/>
    <x v="0"/>
  </r>
  <r>
    <x v="2276"/>
    <x v="16"/>
    <x v="2"/>
    <x v="165"/>
    <n v="90.9"/>
    <x v="83"/>
    <x v="86"/>
    <x v="2"/>
    <x v="1"/>
    <x v="2"/>
    <x v="0"/>
    <x v="3"/>
    <x v="2"/>
    <x v="12"/>
    <x v="2"/>
  </r>
  <r>
    <x v="2277"/>
    <x v="2"/>
    <x v="2"/>
    <x v="919"/>
    <n v="304.20000000000005"/>
    <x v="83"/>
    <x v="81"/>
    <x v="1"/>
    <x v="0"/>
    <x v="0"/>
    <x v="0"/>
    <x v="3"/>
    <x v="3"/>
    <x v="12"/>
    <x v="1"/>
  </r>
  <r>
    <x v="2278"/>
    <x v="3"/>
    <x v="9"/>
    <x v="572"/>
    <n v="277.5"/>
    <x v="83"/>
    <x v="86"/>
    <x v="1"/>
    <x v="1"/>
    <x v="0"/>
    <x v="0"/>
    <x v="24"/>
    <x v="2"/>
    <x v="12"/>
    <x v="1"/>
  </r>
  <r>
    <x v="2279"/>
    <x v="8"/>
    <x v="0"/>
    <x v="59"/>
    <n v="23.1"/>
    <x v="83"/>
    <x v="81"/>
    <x v="1"/>
    <x v="0"/>
    <x v="0"/>
    <x v="0"/>
    <x v="25"/>
    <x v="3"/>
    <x v="12"/>
    <x v="1"/>
  </r>
  <r>
    <x v="2280"/>
    <x v="18"/>
    <x v="1"/>
    <x v="400"/>
    <n v="77.8"/>
    <x v="83"/>
    <x v="81"/>
    <x v="1"/>
    <x v="2"/>
    <x v="0"/>
    <x v="0"/>
    <x v="25"/>
    <x v="3"/>
    <x v="12"/>
    <x v="1"/>
  </r>
  <r>
    <x v="2281"/>
    <x v="6"/>
    <x v="11"/>
    <x v="118"/>
    <n v="1046.7"/>
    <x v="83"/>
    <x v="90"/>
    <x v="2"/>
    <x v="0"/>
    <x v="0"/>
    <x v="0"/>
    <x v="5"/>
    <x v="5"/>
    <x v="12"/>
    <x v="2"/>
  </r>
  <r>
    <x v="2282"/>
    <x v="16"/>
    <x v="11"/>
    <x v="444"/>
    <n v="576.9"/>
    <x v="83"/>
    <x v="82"/>
    <x v="2"/>
    <x v="0"/>
    <x v="2"/>
    <x v="0"/>
    <x v="6"/>
    <x v="7"/>
    <x v="12"/>
    <x v="2"/>
  </r>
  <r>
    <x v="2283"/>
    <x v="2"/>
    <x v="13"/>
    <x v="920"/>
    <n v="655.20000000000005"/>
    <x v="83"/>
    <x v="87"/>
    <x v="1"/>
    <x v="0"/>
    <x v="1"/>
    <x v="0"/>
    <x v="8"/>
    <x v="1"/>
    <x v="12"/>
    <x v="1"/>
  </r>
  <r>
    <x v="2284"/>
    <x v="10"/>
    <x v="9"/>
    <x v="372"/>
    <n v="116"/>
    <x v="84"/>
    <x v="87"/>
    <x v="1"/>
    <x v="0"/>
    <x v="1"/>
    <x v="0"/>
    <x v="8"/>
    <x v="3"/>
    <x v="12"/>
    <x v="1"/>
  </r>
  <r>
    <x v="2285"/>
    <x v="18"/>
    <x v="13"/>
    <x v="830"/>
    <n v="487.20000000000005"/>
    <x v="84"/>
    <x v="86"/>
    <x v="1"/>
    <x v="2"/>
    <x v="2"/>
    <x v="0"/>
    <x v="8"/>
    <x v="1"/>
    <x v="12"/>
    <x v="1"/>
  </r>
  <r>
    <x v="2286"/>
    <x v="1"/>
    <x v="21"/>
    <x v="8"/>
    <n v="499.80000000000007"/>
    <x v="84"/>
    <x v="87"/>
    <x v="1"/>
    <x v="3"/>
    <x v="0"/>
    <x v="0"/>
    <x v="8"/>
    <x v="3"/>
    <x v="12"/>
    <x v="1"/>
  </r>
  <r>
    <x v="2287"/>
    <x v="7"/>
    <x v="1"/>
    <x v="239"/>
    <n v="89"/>
    <x v="84"/>
    <x v="90"/>
    <x v="1"/>
    <x v="4"/>
    <x v="0"/>
    <x v="0"/>
    <x v="9"/>
    <x v="2"/>
    <x v="12"/>
    <x v="1"/>
  </r>
  <r>
    <x v="2288"/>
    <x v="1"/>
    <x v="9"/>
    <x v="34"/>
    <n v="160"/>
    <x v="84"/>
    <x v="86"/>
    <x v="3"/>
    <x v="1"/>
    <x v="1"/>
    <x v="0"/>
    <x v="9"/>
    <x v="1"/>
    <x v="12"/>
    <x v="3"/>
  </r>
  <r>
    <x v="2289"/>
    <x v="8"/>
    <x v="0"/>
    <x v="679"/>
    <n v="25.7"/>
    <x v="84"/>
    <x v="87"/>
    <x v="1"/>
    <x v="0"/>
    <x v="0"/>
    <x v="0"/>
    <x v="10"/>
    <x v="3"/>
    <x v="12"/>
    <x v="1"/>
  </r>
  <r>
    <x v="2290"/>
    <x v="16"/>
    <x v="2"/>
    <x v="404"/>
    <n v="196.79999999999998"/>
    <x v="84"/>
    <x v="84"/>
    <x v="1"/>
    <x v="0"/>
    <x v="0"/>
    <x v="0"/>
    <x v="11"/>
    <x v="4"/>
    <x v="12"/>
    <x v="1"/>
  </r>
  <r>
    <x v="2291"/>
    <x v="1"/>
    <x v="12"/>
    <x v="184"/>
    <n v="208.4"/>
    <x v="84"/>
    <x v="87"/>
    <x v="2"/>
    <x v="0"/>
    <x v="2"/>
    <x v="0"/>
    <x v="11"/>
    <x v="3"/>
    <x v="12"/>
    <x v="2"/>
  </r>
  <r>
    <x v="2292"/>
    <x v="8"/>
    <x v="0"/>
    <x v="452"/>
    <n v="31"/>
    <x v="84"/>
    <x v="87"/>
    <x v="1"/>
    <x v="0"/>
    <x v="1"/>
    <x v="0"/>
    <x v="19"/>
    <x v="3"/>
    <x v="12"/>
    <x v="1"/>
  </r>
  <r>
    <x v="2293"/>
    <x v="8"/>
    <x v="0"/>
    <x v="34"/>
    <n v="32"/>
    <x v="84"/>
    <x v="86"/>
    <x v="3"/>
    <x v="3"/>
    <x v="1"/>
    <x v="0"/>
    <x v="31"/>
    <x v="1"/>
    <x v="12"/>
    <x v="3"/>
  </r>
  <r>
    <x v="2294"/>
    <x v="16"/>
    <x v="12"/>
    <x v="207"/>
    <n v="233.2"/>
    <x v="84"/>
    <x v="89"/>
    <x v="1"/>
    <x v="1"/>
    <x v="4"/>
    <x v="0"/>
    <x v="20"/>
    <x v="5"/>
    <x v="12"/>
    <x v="1"/>
  </r>
  <r>
    <x v="2295"/>
    <x v="8"/>
    <x v="2"/>
    <x v="452"/>
    <n v="93"/>
    <x v="84"/>
    <x v="86"/>
    <x v="2"/>
    <x v="2"/>
    <x v="4"/>
    <x v="0"/>
    <x v="13"/>
    <x v="1"/>
    <x v="12"/>
    <x v="2"/>
  </r>
  <r>
    <x v="2296"/>
    <x v="3"/>
    <x v="0"/>
    <x v="7"/>
    <n v="40.299999999999997"/>
    <x v="84"/>
    <x v="87"/>
    <x v="1"/>
    <x v="1"/>
    <x v="2"/>
    <x v="0"/>
    <x v="54"/>
    <x v="3"/>
    <x v="12"/>
    <x v="1"/>
  </r>
  <r>
    <x v="2297"/>
    <x v="6"/>
    <x v="2"/>
    <x v="219"/>
    <n v="141.89999999999998"/>
    <x v="84"/>
    <x v="86"/>
    <x v="1"/>
    <x v="4"/>
    <x v="2"/>
    <x v="0"/>
    <x v="2"/>
    <x v="1"/>
    <x v="12"/>
    <x v="1"/>
  </r>
  <r>
    <x v="2298"/>
    <x v="2"/>
    <x v="0"/>
    <x v="921"/>
    <n v="82.8"/>
    <x v="84"/>
    <x v="87"/>
    <x v="1"/>
    <x v="0"/>
    <x v="0"/>
    <x v="0"/>
    <x v="2"/>
    <x v="3"/>
    <x v="12"/>
    <x v="1"/>
  </r>
  <r>
    <x v="2299"/>
    <x v="8"/>
    <x v="0"/>
    <x v="99"/>
    <n v="18.5"/>
    <x v="84"/>
    <x v="91"/>
    <x v="2"/>
    <x v="0"/>
    <x v="0"/>
    <x v="0"/>
    <x v="44"/>
    <x v="12"/>
    <x v="12"/>
    <x v="2"/>
  </r>
  <r>
    <x v="2300"/>
    <x v="3"/>
    <x v="1"/>
    <x v="247"/>
    <n v="120.8"/>
    <x v="84"/>
    <x v="87"/>
    <x v="1"/>
    <x v="2"/>
    <x v="0"/>
    <x v="0"/>
    <x v="22"/>
    <x v="3"/>
    <x v="12"/>
    <x v="1"/>
  </r>
  <r>
    <x v="2301"/>
    <x v="6"/>
    <x v="9"/>
    <x v="454"/>
    <n v="401"/>
    <x v="84"/>
    <x v="92"/>
    <x v="1"/>
    <x v="1"/>
    <x v="1"/>
    <x v="0"/>
    <x v="50"/>
    <x v="6"/>
    <x v="12"/>
    <x v="1"/>
  </r>
  <r>
    <x v="2302"/>
    <x v="4"/>
    <x v="0"/>
    <x v="329"/>
    <n v="41.5"/>
    <x v="84"/>
    <x v="86"/>
    <x v="1"/>
    <x v="2"/>
    <x v="0"/>
    <x v="0"/>
    <x v="3"/>
    <x v="1"/>
    <x v="12"/>
    <x v="1"/>
  </r>
  <r>
    <x v="2303"/>
    <x v="2"/>
    <x v="1"/>
    <x v="922"/>
    <n v="167.8"/>
    <x v="84"/>
    <x v="90"/>
    <x v="2"/>
    <x v="0"/>
    <x v="0"/>
    <x v="0"/>
    <x v="3"/>
    <x v="2"/>
    <x v="12"/>
    <x v="2"/>
  </r>
  <r>
    <x v="2304"/>
    <x v="8"/>
    <x v="1"/>
    <x v="569"/>
    <n v="33.4"/>
    <x v="84"/>
    <x v="89"/>
    <x v="2"/>
    <x v="0"/>
    <x v="1"/>
    <x v="0"/>
    <x v="3"/>
    <x v="5"/>
    <x v="12"/>
    <x v="2"/>
  </r>
  <r>
    <x v="2305"/>
    <x v="9"/>
    <x v="1"/>
    <x v="899"/>
    <n v="145.80000000000001"/>
    <x v="84"/>
    <x v="87"/>
    <x v="1"/>
    <x v="2"/>
    <x v="1"/>
    <x v="0"/>
    <x v="3"/>
    <x v="3"/>
    <x v="12"/>
    <x v="1"/>
  </r>
  <r>
    <x v="2306"/>
    <x v="5"/>
    <x v="1"/>
    <x v="534"/>
    <n v="100.4"/>
    <x v="84"/>
    <x v="86"/>
    <x v="2"/>
    <x v="1"/>
    <x v="2"/>
    <x v="0"/>
    <x v="3"/>
    <x v="1"/>
    <x v="12"/>
    <x v="2"/>
  </r>
  <r>
    <x v="2307"/>
    <x v="3"/>
    <x v="1"/>
    <x v="120"/>
    <n v="68.400000000000006"/>
    <x v="84"/>
    <x v="93"/>
    <x v="0"/>
    <x v="1"/>
    <x v="0"/>
    <x v="0"/>
    <x v="3"/>
    <x v="14"/>
    <x v="12"/>
    <x v="0"/>
  </r>
  <r>
    <x v="2308"/>
    <x v="5"/>
    <x v="1"/>
    <x v="562"/>
    <n v="215.8"/>
    <x v="84"/>
    <x v="81"/>
    <x v="1"/>
    <x v="1"/>
    <x v="4"/>
    <x v="0"/>
    <x v="3"/>
    <x v="7"/>
    <x v="12"/>
    <x v="1"/>
  </r>
  <r>
    <x v="2309"/>
    <x v="0"/>
    <x v="2"/>
    <x v="25"/>
    <n v="52.5"/>
    <x v="84"/>
    <x v="86"/>
    <x v="1"/>
    <x v="4"/>
    <x v="0"/>
    <x v="0"/>
    <x v="3"/>
    <x v="1"/>
    <x v="12"/>
    <x v="1"/>
  </r>
  <r>
    <x v="2310"/>
    <x v="13"/>
    <x v="20"/>
    <x v="613"/>
    <n v="670.5"/>
    <x v="84"/>
    <x v="87"/>
    <x v="1"/>
    <x v="0"/>
    <x v="1"/>
    <x v="0"/>
    <x v="3"/>
    <x v="3"/>
    <x v="12"/>
    <x v="1"/>
  </r>
  <r>
    <x v="2311"/>
    <x v="12"/>
    <x v="13"/>
    <x v="306"/>
    <n v="556.20000000000005"/>
    <x v="84"/>
    <x v="86"/>
    <x v="2"/>
    <x v="2"/>
    <x v="1"/>
    <x v="0"/>
    <x v="3"/>
    <x v="1"/>
    <x v="12"/>
    <x v="2"/>
  </r>
  <r>
    <x v="2312"/>
    <x v="7"/>
    <x v="2"/>
    <x v="126"/>
    <n v="146.39999999999998"/>
    <x v="84"/>
    <x v="86"/>
    <x v="2"/>
    <x v="2"/>
    <x v="0"/>
    <x v="0"/>
    <x v="3"/>
    <x v="1"/>
    <x v="12"/>
    <x v="2"/>
  </r>
  <r>
    <x v="2313"/>
    <x v="4"/>
    <x v="27"/>
    <x v="210"/>
    <n v="340.8"/>
    <x v="84"/>
    <x v="89"/>
    <x v="2"/>
    <x v="3"/>
    <x v="3"/>
    <x v="0"/>
    <x v="3"/>
    <x v="5"/>
    <x v="12"/>
    <x v="2"/>
  </r>
  <r>
    <x v="2314"/>
    <x v="16"/>
    <x v="0"/>
    <x v="166"/>
    <n v="52.5"/>
    <x v="84"/>
    <x v="87"/>
    <x v="2"/>
    <x v="0"/>
    <x v="0"/>
    <x v="0"/>
    <x v="3"/>
    <x v="3"/>
    <x v="12"/>
    <x v="2"/>
  </r>
  <r>
    <x v="2315"/>
    <x v="1"/>
    <x v="1"/>
    <x v="923"/>
    <n v="184.8"/>
    <x v="84"/>
    <x v="84"/>
    <x v="2"/>
    <x v="0"/>
    <x v="2"/>
    <x v="0"/>
    <x v="3"/>
    <x v="4"/>
    <x v="12"/>
    <x v="2"/>
  </r>
  <r>
    <x v="2316"/>
    <x v="4"/>
    <x v="5"/>
    <x v="207"/>
    <n v="641.29999999999995"/>
    <x v="84"/>
    <x v="86"/>
    <x v="1"/>
    <x v="1"/>
    <x v="2"/>
    <x v="0"/>
    <x v="3"/>
    <x v="1"/>
    <x v="12"/>
    <x v="1"/>
  </r>
  <r>
    <x v="2317"/>
    <x v="6"/>
    <x v="44"/>
    <x v="924"/>
    <n v="3509.7999999999997"/>
    <x v="85"/>
    <x v="90"/>
    <x v="0"/>
    <x v="0"/>
    <x v="0"/>
    <x v="0"/>
    <x v="3"/>
    <x v="1"/>
    <x v="12"/>
    <x v="0"/>
  </r>
  <r>
    <x v="2318"/>
    <x v="8"/>
    <x v="1"/>
    <x v="269"/>
    <n v="52"/>
    <x v="85"/>
    <x v="87"/>
    <x v="0"/>
    <x v="0"/>
    <x v="1"/>
    <x v="0"/>
    <x v="3"/>
    <x v="7"/>
    <x v="12"/>
    <x v="0"/>
  </r>
  <r>
    <x v="2319"/>
    <x v="1"/>
    <x v="12"/>
    <x v="199"/>
    <n v="132.4"/>
    <x v="85"/>
    <x v="87"/>
    <x v="1"/>
    <x v="2"/>
    <x v="4"/>
    <x v="0"/>
    <x v="5"/>
    <x v="7"/>
    <x v="12"/>
    <x v="1"/>
  </r>
  <r>
    <x v="2320"/>
    <x v="18"/>
    <x v="0"/>
    <x v="258"/>
    <n v="51.4"/>
    <x v="85"/>
    <x v="90"/>
    <x v="2"/>
    <x v="1"/>
    <x v="1"/>
    <x v="0"/>
    <x v="5"/>
    <x v="1"/>
    <x v="12"/>
    <x v="2"/>
  </r>
  <r>
    <x v="2321"/>
    <x v="8"/>
    <x v="1"/>
    <x v="224"/>
    <n v="60.4"/>
    <x v="85"/>
    <x v="86"/>
    <x v="2"/>
    <x v="2"/>
    <x v="2"/>
    <x v="0"/>
    <x v="6"/>
    <x v="3"/>
    <x v="12"/>
    <x v="2"/>
  </r>
  <r>
    <x v="2322"/>
    <x v="2"/>
    <x v="13"/>
    <x v="876"/>
    <n v="582"/>
    <x v="85"/>
    <x v="88"/>
    <x v="2"/>
    <x v="0"/>
    <x v="2"/>
    <x v="0"/>
    <x v="7"/>
    <x v="5"/>
    <x v="12"/>
    <x v="2"/>
  </r>
  <r>
    <x v="2323"/>
    <x v="2"/>
    <x v="0"/>
    <x v="863"/>
    <n v="76.900000000000006"/>
    <x v="85"/>
    <x v="86"/>
    <x v="1"/>
    <x v="1"/>
    <x v="2"/>
    <x v="0"/>
    <x v="8"/>
    <x v="3"/>
    <x v="12"/>
    <x v="1"/>
  </r>
  <r>
    <x v="2324"/>
    <x v="7"/>
    <x v="13"/>
    <x v="160"/>
    <n v="216.60000000000002"/>
    <x v="85"/>
    <x v="88"/>
    <x v="2"/>
    <x v="0"/>
    <x v="0"/>
    <x v="0"/>
    <x v="8"/>
    <x v="5"/>
    <x v="12"/>
    <x v="2"/>
  </r>
  <r>
    <x v="2325"/>
    <x v="1"/>
    <x v="3"/>
    <x v="766"/>
    <n v="240.79999999999998"/>
    <x v="85"/>
    <x v="87"/>
    <x v="2"/>
    <x v="2"/>
    <x v="1"/>
    <x v="0"/>
    <x v="11"/>
    <x v="7"/>
    <x v="12"/>
    <x v="2"/>
  </r>
  <r>
    <x v="2326"/>
    <x v="1"/>
    <x v="31"/>
    <x v="230"/>
    <n v="1495.2"/>
    <x v="85"/>
    <x v="90"/>
    <x v="2"/>
    <x v="1"/>
    <x v="0"/>
    <x v="0"/>
    <x v="18"/>
    <x v="1"/>
    <x v="12"/>
    <x v="2"/>
  </r>
  <r>
    <x v="2327"/>
    <x v="2"/>
    <x v="0"/>
    <x v="312"/>
    <n v="77.599999999999994"/>
    <x v="85"/>
    <x v="86"/>
    <x v="2"/>
    <x v="0"/>
    <x v="1"/>
    <x v="0"/>
    <x v="19"/>
    <x v="3"/>
    <x v="12"/>
    <x v="2"/>
  </r>
  <r>
    <x v="2328"/>
    <x v="1"/>
    <x v="2"/>
    <x v="925"/>
    <n v="215.10000000000002"/>
    <x v="85"/>
    <x v="89"/>
    <x v="2"/>
    <x v="1"/>
    <x v="0"/>
    <x v="0"/>
    <x v="19"/>
    <x v="2"/>
    <x v="12"/>
    <x v="2"/>
  </r>
  <r>
    <x v="2329"/>
    <x v="3"/>
    <x v="2"/>
    <x v="853"/>
    <n v="241.79999999999998"/>
    <x v="85"/>
    <x v="86"/>
    <x v="1"/>
    <x v="4"/>
    <x v="1"/>
    <x v="0"/>
    <x v="19"/>
    <x v="3"/>
    <x v="12"/>
    <x v="1"/>
  </r>
  <r>
    <x v="2330"/>
    <x v="1"/>
    <x v="20"/>
    <x v="579"/>
    <n v="1050"/>
    <x v="85"/>
    <x v="90"/>
    <x v="1"/>
    <x v="0"/>
    <x v="0"/>
    <x v="0"/>
    <x v="20"/>
    <x v="1"/>
    <x v="12"/>
    <x v="1"/>
  </r>
  <r>
    <x v="2331"/>
    <x v="4"/>
    <x v="13"/>
    <x v="807"/>
    <n v="163.80000000000001"/>
    <x v="85"/>
    <x v="90"/>
    <x v="2"/>
    <x v="1"/>
    <x v="1"/>
    <x v="0"/>
    <x v="2"/>
    <x v="1"/>
    <x v="12"/>
    <x v="2"/>
  </r>
  <r>
    <x v="2332"/>
    <x v="8"/>
    <x v="21"/>
    <x v="410"/>
    <n v="526.4"/>
    <x v="85"/>
    <x v="90"/>
    <x v="1"/>
    <x v="1"/>
    <x v="0"/>
    <x v="0"/>
    <x v="3"/>
    <x v="1"/>
    <x v="12"/>
    <x v="1"/>
  </r>
  <r>
    <x v="2333"/>
    <x v="5"/>
    <x v="2"/>
    <x v="17"/>
    <n v="109.80000000000001"/>
    <x v="85"/>
    <x v="90"/>
    <x v="2"/>
    <x v="4"/>
    <x v="0"/>
    <x v="0"/>
    <x v="3"/>
    <x v="1"/>
    <x v="12"/>
    <x v="2"/>
  </r>
  <r>
    <x v="2334"/>
    <x v="13"/>
    <x v="0"/>
    <x v="204"/>
    <n v="55.2"/>
    <x v="85"/>
    <x v="90"/>
    <x v="1"/>
    <x v="3"/>
    <x v="0"/>
    <x v="0"/>
    <x v="3"/>
    <x v="1"/>
    <x v="12"/>
    <x v="1"/>
  </r>
  <r>
    <x v="2335"/>
    <x v="6"/>
    <x v="9"/>
    <x v="316"/>
    <n v="299.5"/>
    <x v="85"/>
    <x v="90"/>
    <x v="1"/>
    <x v="0"/>
    <x v="0"/>
    <x v="0"/>
    <x v="3"/>
    <x v="1"/>
    <x v="12"/>
    <x v="1"/>
  </r>
  <r>
    <x v="2336"/>
    <x v="6"/>
    <x v="0"/>
    <x v="548"/>
    <n v="44"/>
    <x v="85"/>
    <x v="86"/>
    <x v="2"/>
    <x v="2"/>
    <x v="2"/>
    <x v="0"/>
    <x v="3"/>
    <x v="3"/>
    <x v="12"/>
    <x v="2"/>
  </r>
  <r>
    <x v="2337"/>
    <x v="9"/>
    <x v="1"/>
    <x v="596"/>
    <n v="137.4"/>
    <x v="85"/>
    <x v="87"/>
    <x v="1"/>
    <x v="0"/>
    <x v="0"/>
    <x v="0"/>
    <x v="3"/>
    <x v="7"/>
    <x v="12"/>
    <x v="1"/>
  </r>
  <r>
    <x v="2338"/>
    <x v="5"/>
    <x v="1"/>
    <x v="480"/>
    <n v="123.2"/>
    <x v="85"/>
    <x v="88"/>
    <x v="1"/>
    <x v="3"/>
    <x v="1"/>
    <x v="0"/>
    <x v="3"/>
    <x v="5"/>
    <x v="12"/>
    <x v="1"/>
  </r>
  <r>
    <x v="2339"/>
    <x v="7"/>
    <x v="3"/>
    <x v="147"/>
    <n v="362.59999999999997"/>
    <x v="85"/>
    <x v="86"/>
    <x v="1"/>
    <x v="0"/>
    <x v="0"/>
    <x v="0"/>
    <x v="3"/>
    <x v="3"/>
    <x v="12"/>
    <x v="1"/>
  </r>
  <r>
    <x v="2340"/>
    <x v="8"/>
    <x v="7"/>
    <x v="193"/>
    <n v="462"/>
    <x v="85"/>
    <x v="90"/>
    <x v="1"/>
    <x v="1"/>
    <x v="2"/>
    <x v="0"/>
    <x v="3"/>
    <x v="1"/>
    <x v="12"/>
    <x v="1"/>
  </r>
  <r>
    <x v="2341"/>
    <x v="0"/>
    <x v="1"/>
    <x v="918"/>
    <n v="38.799999999999997"/>
    <x v="85"/>
    <x v="90"/>
    <x v="2"/>
    <x v="1"/>
    <x v="2"/>
    <x v="0"/>
    <x v="6"/>
    <x v="1"/>
    <x v="12"/>
    <x v="2"/>
  </r>
  <r>
    <x v="2342"/>
    <x v="11"/>
    <x v="2"/>
    <x v="184"/>
    <n v="156.30000000000001"/>
    <x v="85"/>
    <x v="89"/>
    <x v="1"/>
    <x v="3"/>
    <x v="3"/>
    <x v="0"/>
    <x v="6"/>
    <x v="2"/>
    <x v="12"/>
    <x v="1"/>
  </r>
  <r>
    <x v="2343"/>
    <x v="6"/>
    <x v="0"/>
    <x v="285"/>
    <n v="74.900000000000006"/>
    <x v="85"/>
    <x v="90"/>
    <x v="3"/>
    <x v="0"/>
    <x v="0"/>
    <x v="0"/>
    <x v="7"/>
    <x v="1"/>
    <x v="12"/>
    <x v="3"/>
  </r>
  <r>
    <x v="2344"/>
    <x v="9"/>
    <x v="3"/>
    <x v="659"/>
    <n v="347.2"/>
    <x v="85"/>
    <x v="89"/>
    <x v="2"/>
    <x v="4"/>
    <x v="0"/>
    <x v="0"/>
    <x v="8"/>
    <x v="2"/>
    <x v="12"/>
    <x v="2"/>
  </r>
  <r>
    <x v="2345"/>
    <x v="16"/>
    <x v="12"/>
    <x v="921"/>
    <n v="331.2"/>
    <x v="86"/>
    <x v="88"/>
    <x v="2"/>
    <x v="4"/>
    <x v="0"/>
    <x v="0"/>
    <x v="8"/>
    <x v="2"/>
    <x v="12"/>
    <x v="2"/>
  </r>
  <r>
    <x v="2346"/>
    <x v="2"/>
    <x v="0"/>
    <x v="67"/>
    <n v="97.7"/>
    <x v="86"/>
    <x v="90"/>
    <x v="2"/>
    <x v="1"/>
    <x v="0"/>
    <x v="0"/>
    <x v="8"/>
    <x v="3"/>
    <x v="12"/>
    <x v="2"/>
  </r>
  <r>
    <x v="2347"/>
    <x v="6"/>
    <x v="9"/>
    <x v="331"/>
    <n v="418"/>
    <x v="86"/>
    <x v="90"/>
    <x v="2"/>
    <x v="4"/>
    <x v="0"/>
    <x v="0"/>
    <x v="8"/>
    <x v="3"/>
    <x v="12"/>
    <x v="2"/>
  </r>
  <r>
    <x v="2348"/>
    <x v="8"/>
    <x v="9"/>
    <x v="234"/>
    <n v="117.5"/>
    <x v="86"/>
    <x v="84"/>
    <x v="3"/>
    <x v="0"/>
    <x v="0"/>
    <x v="0"/>
    <x v="8"/>
    <x v="5"/>
    <x v="12"/>
    <x v="3"/>
  </r>
  <r>
    <x v="2349"/>
    <x v="9"/>
    <x v="2"/>
    <x v="926"/>
    <n v="133.80000000000001"/>
    <x v="86"/>
    <x v="88"/>
    <x v="2"/>
    <x v="4"/>
    <x v="1"/>
    <x v="0"/>
    <x v="26"/>
    <x v="2"/>
    <x v="12"/>
    <x v="2"/>
  </r>
  <r>
    <x v="2350"/>
    <x v="0"/>
    <x v="2"/>
    <x v="260"/>
    <n v="60.300000000000004"/>
    <x v="86"/>
    <x v="89"/>
    <x v="2"/>
    <x v="3"/>
    <x v="4"/>
    <x v="0"/>
    <x v="11"/>
    <x v="1"/>
    <x v="12"/>
    <x v="2"/>
  </r>
  <r>
    <x v="2351"/>
    <x v="2"/>
    <x v="9"/>
    <x v="927"/>
    <n v="768"/>
    <x v="86"/>
    <x v="90"/>
    <x v="2"/>
    <x v="1"/>
    <x v="2"/>
    <x v="0"/>
    <x v="53"/>
    <x v="3"/>
    <x v="12"/>
    <x v="2"/>
  </r>
  <r>
    <x v="2352"/>
    <x v="1"/>
    <x v="1"/>
    <x v="928"/>
    <n v="143.6"/>
    <x v="86"/>
    <x v="84"/>
    <x v="2"/>
    <x v="1"/>
    <x v="0"/>
    <x v="0"/>
    <x v="1"/>
    <x v="5"/>
    <x v="12"/>
    <x v="2"/>
  </r>
  <r>
    <x v="2353"/>
    <x v="10"/>
    <x v="0"/>
    <x v="337"/>
    <n v="64.7"/>
    <x v="86"/>
    <x v="89"/>
    <x v="0"/>
    <x v="0"/>
    <x v="1"/>
    <x v="0"/>
    <x v="1"/>
    <x v="1"/>
    <x v="12"/>
    <x v="0"/>
  </r>
  <r>
    <x v="2354"/>
    <x v="9"/>
    <x v="8"/>
    <x v="247"/>
    <n v="483.2"/>
    <x v="86"/>
    <x v="89"/>
    <x v="2"/>
    <x v="3"/>
    <x v="2"/>
    <x v="0"/>
    <x v="2"/>
    <x v="1"/>
    <x v="12"/>
    <x v="2"/>
  </r>
  <r>
    <x v="2355"/>
    <x v="6"/>
    <x v="12"/>
    <x v="797"/>
    <n v="344"/>
    <x v="86"/>
    <x v="88"/>
    <x v="2"/>
    <x v="2"/>
    <x v="2"/>
    <x v="0"/>
    <x v="22"/>
    <x v="2"/>
    <x v="12"/>
    <x v="2"/>
  </r>
  <r>
    <x v="2356"/>
    <x v="12"/>
    <x v="1"/>
    <x v="624"/>
    <n v="84.2"/>
    <x v="86"/>
    <x v="90"/>
    <x v="2"/>
    <x v="4"/>
    <x v="1"/>
    <x v="0"/>
    <x v="34"/>
    <x v="3"/>
    <x v="12"/>
    <x v="2"/>
  </r>
  <r>
    <x v="2357"/>
    <x v="16"/>
    <x v="11"/>
    <x v="18"/>
    <n v="459.90000000000003"/>
    <x v="86"/>
    <x v="90"/>
    <x v="1"/>
    <x v="2"/>
    <x v="1"/>
    <x v="0"/>
    <x v="3"/>
    <x v="3"/>
    <x v="12"/>
    <x v="1"/>
  </r>
  <r>
    <x v="2358"/>
    <x v="9"/>
    <x v="12"/>
    <x v="773"/>
    <n v="295.2"/>
    <x v="86"/>
    <x v="90"/>
    <x v="1"/>
    <x v="4"/>
    <x v="0"/>
    <x v="0"/>
    <x v="3"/>
    <x v="3"/>
    <x v="12"/>
    <x v="1"/>
  </r>
  <r>
    <x v="2359"/>
    <x v="8"/>
    <x v="9"/>
    <x v="49"/>
    <n v="135"/>
    <x v="86"/>
    <x v="88"/>
    <x v="2"/>
    <x v="2"/>
    <x v="2"/>
    <x v="0"/>
    <x v="3"/>
    <x v="2"/>
    <x v="12"/>
    <x v="2"/>
  </r>
  <r>
    <x v="2360"/>
    <x v="8"/>
    <x v="13"/>
    <x v="110"/>
    <n v="360.6"/>
    <x v="86"/>
    <x v="90"/>
    <x v="1"/>
    <x v="3"/>
    <x v="0"/>
    <x v="0"/>
    <x v="3"/>
    <x v="3"/>
    <x v="12"/>
    <x v="1"/>
  </r>
  <r>
    <x v="2361"/>
    <x v="2"/>
    <x v="3"/>
    <x v="252"/>
    <n v="658.69999999999993"/>
    <x v="86"/>
    <x v="89"/>
    <x v="2"/>
    <x v="4"/>
    <x v="1"/>
    <x v="0"/>
    <x v="3"/>
    <x v="1"/>
    <x v="12"/>
    <x v="2"/>
  </r>
  <r>
    <x v="2362"/>
    <x v="2"/>
    <x v="1"/>
    <x v="778"/>
    <n v="248.2"/>
    <x v="86"/>
    <x v="86"/>
    <x v="2"/>
    <x v="2"/>
    <x v="3"/>
    <x v="0"/>
    <x v="43"/>
    <x v="7"/>
    <x v="12"/>
    <x v="2"/>
  </r>
  <r>
    <x v="2363"/>
    <x v="8"/>
    <x v="12"/>
    <x v="929"/>
    <n v="67.599999999999994"/>
    <x v="86"/>
    <x v="88"/>
    <x v="1"/>
    <x v="3"/>
    <x v="0"/>
    <x v="0"/>
    <x v="6"/>
    <x v="2"/>
    <x v="12"/>
    <x v="1"/>
  </r>
  <r>
    <x v="2364"/>
    <x v="1"/>
    <x v="0"/>
    <x v="711"/>
    <n v="36.9"/>
    <x v="86"/>
    <x v="90"/>
    <x v="1"/>
    <x v="0"/>
    <x v="0"/>
    <x v="0"/>
    <x v="6"/>
    <x v="3"/>
    <x v="12"/>
    <x v="1"/>
  </r>
  <r>
    <x v="2365"/>
    <x v="9"/>
    <x v="1"/>
    <x v="351"/>
    <n v="45.2"/>
    <x v="86"/>
    <x v="94"/>
    <x v="2"/>
    <x v="2"/>
    <x v="1"/>
    <x v="0"/>
    <x v="8"/>
    <x v="10"/>
    <x v="12"/>
    <x v="2"/>
  </r>
  <r>
    <x v="2366"/>
    <x v="7"/>
    <x v="12"/>
    <x v="775"/>
    <n v="140"/>
    <x v="86"/>
    <x v="92"/>
    <x v="1"/>
    <x v="3"/>
    <x v="1"/>
    <x v="0"/>
    <x v="8"/>
    <x v="0"/>
    <x v="12"/>
    <x v="1"/>
  </r>
  <r>
    <x v="2367"/>
    <x v="9"/>
    <x v="13"/>
    <x v="305"/>
    <n v="381.6"/>
    <x v="86"/>
    <x v="95"/>
    <x v="0"/>
    <x v="1"/>
    <x v="2"/>
    <x v="0"/>
    <x v="8"/>
    <x v="6"/>
    <x v="12"/>
    <x v="0"/>
  </r>
  <r>
    <x v="2368"/>
    <x v="15"/>
    <x v="12"/>
    <x v="716"/>
    <n v="314.39999999999998"/>
    <x v="86"/>
    <x v="90"/>
    <x v="1"/>
    <x v="4"/>
    <x v="1"/>
    <x v="0"/>
    <x v="8"/>
    <x v="3"/>
    <x v="12"/>
    <x v="1"/>
  </r>
  <r>
    <x v="2369"/>
    <x v="3"/>
    <x v="1"/>
    <x v="153"/>
    <n v="77"/>
    <x v="86"/>
    <x v="90"/>
    <x v="1"/>
    <x v="0"/>
    <x v="2"/>
    <x v="0"/>
    <x v="8"/>
    <x v="3"/>
    <x v="12"/>
    <x v="1"/>
  </r>
  <r>
    <x v="2370"/>
    <x v="8"/>
    <x v="5"/>
    <x v="674"/>
    <n v="786.5"/>
    <x v="86"/>
    <x v="90"/>
    <x v="2"/>
    <x v="1"/>
    <x v="4"/>
    <x v="0"/>
    <x v="8"/>
    <x v="3"/>
    <x v="12"/>
    <x v="2"/>
  </r>
  <r>
    <x v="2371"/>
    <x v="6"/>
    <x v="12"/>
    <x v="930"/>
    <n v="485.6"/>
    <x v="86"/>
    <x v="84"/>
    <x v="1"/>
    <x v="1"/>
    <x v="2"/>
    <x v="0"/>
    <x v="17"/>
    <x v="5"/>
    <x v="12"/>
    <x v="1"/>
  </r>
  <r>
    <x v="2372"/>
    <x v="11"/>
    <x v="0"/>
    <x v="931"/>
    <n v="40.200000000000003"/>
    <x v="86"/>
    <x v="88"/>
    <x v="2"/>
    <x v="0"/>
    <x v="2"/>
    <x v="0"/>
    <x v="11"/>
    <x v="2"/>
    <x v="12"/>
    <x v="2"/>
  </r>
  <r>
    <x v="2373"/>
    <x v="5"/>
    <x v="9"/>
    <x v="590"/>
    <n v="159.5"/>
    <x v="86"/>
    <x v="89"/>
    <x v="2"/>
    <x v="2"/>
    <x v="2"/>
    <x v="0"/>
    <x v="28"/>
    <x v="1"/>
    <x v="12"/>
    <x v="2"/>
  </r>
  <r>
    <x v="2374"/>
    <x v="14"/>
    <x v="9"/>
    <x v="35"/>
    <n v="79"/>
    <x v="87"/>
    <x v="89"/>
    <x v="1"/>
    <x v="3"/>
    <x v="2"/>
    <x v="0"/>
    <x v="21"/>
    <x v="3"/>
    <x v="12"/>
    <x v="1"/>
  </r>
  <r>
    <x v="2375"/>
    <x v="10"/>
    <x v="1"/>
    <x v="403"/>
    <n v="50.2"/>
    <x v="87"/>
    <x v="88"/>
    <x v="0"/>
    <x v="1"/>
    <x v="0"/>
    <x v="0"/>
    <x v="21"/>
    <x v="1"/>
    <x v="12"/>
    <x v="0"/>
  </r>
  <r>
    <x v="2376"/>
    <x v="1"/>
    <x v="44"/>
    <x v="202"/>
    <n v="876.30000000000007"/>
    <x v="87"/>
    <x v="89"/>
    <x v="2"/>
    <x v="4"/>
    <x v="0"/>
    <x v="0"/>
    <x v="1"/>
    <x v="3"/>
    <x v="12"/>
    <x v="2"/>
  </r>
  <r>
    <x v="2377"/>
    <x v="3"/>
    <x v="1"/>
    <x v="567"/>
    <n v="84.4"/>
    <x v="87"/>
    <x v="88"/>
    <x v="2"/>
    <x v="0"/>
    <x v="2"/>
    <x v="0"/>
    <x v="1"/>
    <x v="1"/>
    <x v="12"/>
    <x v="2"/>
  </r>
  <r>
    <x v="2378"/>
    <x v="0"/>
    <x v="7"/>
    <x v="932"/>
    <n v="123"/>
    <x v="87"/>
    <x v="89"/>
    <x v="2"/>
    <x v="4"/>
    <x v="0"/>
    <x v="0"/>
    <x v="2"/>
    <x v="3"/>
    <x v="12"/>
    <x v="2"/>
  </r>
  <r>
    <x v="2379"/>
    <x v="7"/>
    <x v="0"/>
    <x v="224"/>
    <n v="30.2"/>
    <x v="87"/>
    <x v="88"/>
    <x v="2"/>
    <x v="1"/>
    <x v="2"/>
    <x v="0"/>
    <x v="34"/>
    <x v="1"/>
    <x v="12"/>
    <x v="2"/>
  </r>
  <r>
    <x v="2380"/>
    <x v="5"/>
    <x v="2"/>
    <x v="631"/>
    <n v="75.900000000000006"/>
    <x v="87"/>
    <x v="84"/>
    <x v="2"/>
    <x v="2"/>
    <x v="0"/>
    <x v="0"/>
    <x v="3"/>
    <x v="2"/>
    <x v="12"/>
    <x v="2"/>
  </r>
  <r>
    <x v="2381"/>
    <x v="8"/>
    <x v="9"/>
    <x v="47"/>
    <n v="148.5"/>
    <x v="87"/>
    <x v="88"/>
    <x v="1"/>
    <x v="3"/>
    <x v="0"/>
    <x v="0"/>
    <x v="3"/>
    <x v="1"/>
    <x v="12"/>
    <x v="1"/>
  </r>
  <r>
    <x v="2382"/>
    <x v="9"/>
    <x v="8"/>
    <x v="619"/>
    <n v="263.2"/>
    <x v="87"/>
    <x v="89"/>
    <x v="0"/>
    <x v="3"/>
    <x v="2"/>
    <x v="0"/>
    <x v="3"/>
    <x v="3"/>
    <x v="12"/>
    <x v="0"/>
  </r>
  <r>
    <x v="2383"/>
    <x v="10"/>
    <x v="1"/>
    <x v="458"/>
    <n v="87.2"/>
    <x v="87"/>
    <x v="89"/>
    <x v="1"/>
    <x v="1"/>
    <x v="2"/>
    <x v="0"/>
    <x v="3"/>
    <x v="3"/>
    <x v="12"/>
    <x v="1"/>
  </r>
  <r>
    <x v="2384"/>
    <x v="15"/>
    <x v="12"/>
    <x v="473"/>
    <n v="313.60000000000002"/>
    <x v="87"/>
    <x v="89"/>
    <x v="1"/>
    <x v="2"/>
    <x v="0"/>
    <x v="0"/>
    <x v="3"/>
    <x v="3"/>
    <x v="12"/>
    <x v="1"/>
  </r>
  <r>
    <x v="2385"/>
    <x v="6"/>
    <x v="1"/>
    <x v="448"/>
    <n v="113"/>
    <x v="87"/>
    <x v="92"/>
    <x v="1"/>
    <x v="1"/>
    <x v="1"/>
    <x v="0"/>
    <x v="3"/>
    <x v="5"/>
    <x v="12"/>
    <x v="1"/>
  </r>
  <r>
    <x v="2386"/>
    <x v="16"/>
    <x v="0"/>
    <x v="294"/>
    <n v="36.700000000000003"/>
    <x v="87"/>
    <x v="89"/>
    <x v="2"/>
    <x v="0"/>
    <x v="2"/>
    <x v="0"/>
    <x v="3"/>
    <x v="3"/>
    <x v="12"/>
    <x v="2"/>
  </r>
  <r>
    <x v="2387"/>
    <x v="2"/>
    <x v="12"/>
    <x v="319"/>
    <n v="414.4"/>
    <x v="87"/>
    <x v="91"/>
    <x v="1"/>
    <x v="4"/>
    <x v="2"/>
    <x v="0"/>
    <x v="3"/>
    <x v="11"/>
    <x v="12"/>
    <x v="1"/>
  </r>
  <r>
    <x v="2388"/>
    <x v="8"/>
    <x v="13"/>
    <x v="261"/>
    <n v="97.199999999999989"/>
    <x v="87"/>
    <x v="92"/>
    <x v="1"/>
    <x v="1"/>
    <x v="2"/>
    <x v="0"/>
    <x v="6"/>
    <x v="5"/>
    <x v="12"/>
    <x v="1"/>
  </r>
  <r>
    <x v="2389"/>
    <x v="8"/>
    <x v="1"/>
    <x v="736"/>
    <n v="40.4"/>
    <x v="87"/>
    <x v="89"/>
    <x v="2"/>
    <x v="0"/>
    <x v="0"/>
    <x v="0"/>
    <x v="6"/>
    <x v="3"/>
    <x v="12"/>
    <x v="2"/>
  </r>
  <r>
    <x v="2390"/>
    <x v="11"/>
    <x v="1"/>
    <x v="436"/>
    <n v="53.8"/>
    <x v="87"/>
    <x v="88"/>
    <x v="2"/>
    <x v="2"/>
    <x v="0"/>
    <x v="0"/>
    <x v="6"/>
    <x v="1"/>
    <x v="12"/>
    <x v="2"/>
  </r>
  <r>
    <x v="2391"/>
    <x v="1"/>
    <x v="1"/>
    <x v="844"/>
    <n v="164.8"/>
    <x v="87"/>
    <x v="84"/>
    <x v="0"/>
    <x v="0"/>
    <x v="0"/>
    <x v="0"/>
    <x v="7"/>
    <x v="2"/>
    <x v="12"/>
    <x v="0"/>
  </r>
  <r>
    <x v="2392"/>
    <x v="2"/>
    <x v="1"/>
    <x v="933"/>
    <n v="235.6"/>
    <x v="87"/>
    <x v="88"/>
    <x v="1"/>
    <x v="1"/>
    <x v="2"/>
    <x v="0"/>
    <x v="8"/>
    <x v="1"/>
    <x v="12"/>
    <x v="1"/>
  </r>
  <r>
    <x v="2393"/>
    <x v="11"/>
    <x v="12"/>
    <x v="294"/>
    <n v="146.80000000000001"/>
    <x v="87"/>
    <x v="89"/>
    <x v="1"/>
    <x v="1"/>
    <x v="0"/>
    <x v="0"/>
    <x v="8"/>
    <x v="3"/>
    <x v="12"/>
    <x v="1"/>
  </r>
  <r>
    <x v="2394"/>
    <x v="17"/>
    <x v="2"/>
    <x v="84"/>
    <n v="140.39999999999998"/>
    <x v="87"/>
    <x v="89"/>
    <x v="1"/>
    <x v="4"/>
    <x v="2"/>
    <x v="0"/>
    <x v="10"/>
    <x v="3"/>
    <x v="12"/>
    <x v="1"/>
  </r>
  <r>
    <x v="2395"/>
    <x v="3"/>
    <x v="0"/>
    <x v="854"/>
    <n v="61.4"/>
    <x v="87"/>
    <x v="89"/>
    <x v="1"/>
    <x v="1"/>
    <x v="0"/>
    <x v="0"/>
    <x v="10"/>
    <x v="3"/>
    <x v="12"/>
    <x v="1"/>
  </r>
  <r>
    <x v="2396"/>
    <x v="15"/>
    <x v="1"/>
    <x v="409"/>
    <n v="45.8"/>
    <x v="87"/>
    <x v="89"/>
    <x v="1"/>
    <x v="0"/>
    <x v="0"/>
    <x v="0"/>
    <x v="11"/>
    <x v="3"/>
    <x v="12"/>
    <x v="1"/>
  </r>
  <r>
    <x v="2397"/>
    <x v="10"/>
    <x v="1"/>
    <x v="237"/>
    <n v="44.2"/>
    <x v="87"/>
    <x v="89"/>
    <x v="2"/>
    <x v="4"/>
    <x v="0"/>
    <x v="0"/>
    <x v="11"/>
    <x v="3"/>
    <x v="12"/>
    <x v="2"/>
  </r>
  <r>
    <x v="2398"/>
    <x v="12"/>
    <x v="1"/>
    <x v="452"/>
    <n v="62"/>
    <x v="87"/>
    <x v="88"/>
    <x v="2"/>
    <x v="2"/>
    <x v="0"/>
    <x v="0"/>
    <x v="18"/>
    <x v="1"/>
    <x v="12"/>
    <x v="2"/>
  </r>
  <r>
    <x v="2399"/>
    <x v="18"/>
    <x v="1"/>
    <x v="636"/>
    <n v="168.4"/>
    <x v="87"/>
    <x v="88"/>
    <x v="1"/>
    <x v="2"/>
    <x v="2"/>
    <x v="0"/>
    <x v="13"/>
    <x v="1"/>
    <x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A4C17-8B80-4126-B55E-5A81A1033BFF}" name="PivotTable6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4">
  <location ref="K86:L91" firstHeaderRow="1" firstDataRow="1" firstDataCol="1"/>
  <pivotFields count="15">
    <pivotField compact="0" outline="0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compact="0" outline="0" showAll="0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</pivotField>
    <pivotField dataField="1" compact="0" outline="0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compact="0" outline="0" showAll="0"/>
    <pivotField compact="0" outline="0" showAll="0"/>
    <pivotField compact="0" numFmtId="15" outline="0" showAll="0"/>
    <pivotField compact="0" numFmtId="15" outline="0" showAll="0"/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compact="0" outline="0" showAll="0">
      <items count="5">
        <item x="2"/>
        <item x="1"/>
        <item x="3"/>
        <item x="0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2" baseField="0" baseItem="0"/>
  </dataFields>
  <chartFormats count="20">
    <chartFormat chart="3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0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1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1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1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2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2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2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3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3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3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BFC58-8558-4BAC-BDC8-577A2643B57D}" name="PivotTable7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9">
  <location ref="A112:D172" firstHeaderRow="0" firstDataRow="1" firstDataCol="2"/>
  <pivotFields count="15">
    <pivotField compact="0" outline="0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compact="0" outline="0" showAll="0" sortType="de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compact="0" outline="0" showAll="0"/>
    <pivotField dataField="1" compact="0" outline="0" showAll="0"/>
    <pivotField compact="0" numFmtId="15" outline="0" showAll="0"/>
    <pivotField compact="0" numFmtId="15" outline="0" showAll="0"/>
    <pivotField compact="0" outline="0" showAll="0">
      <items count="5">
        <item h="1" x="0"/>
        <item x="2"/>
        <item x="1"/>
        <item x="3"/>
        <item t="default"/>
      </items>
    </pivotField>
    <pivotField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axis="axisRow" compact="0" outline="0" showAll="0">
      <items count="2">
        <item x="0"/>
        <item t="default"/>
      </items>
    </pivotField>
    <pivotField axis="axisRow" compact="0" outline="0" showAll="0">
      <items count="59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  <item t="default"/>
      </items>
    </pivotField>
    <pivotField compact="0" outline="0" showAll="0"/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5">
        <item x="2"/>
        <item x="1"/>
        <item x="3"/>
        <item x="0"/>
        <item t="default"/>
      </items>
    </pivotField>
  </pivotFields>
  <rowFields count="2">
    <field x="10"/>
    <field x="11"/>
  </rowFields>
  <rowItems count="6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t="default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13B14-6549-4DD3-8CBA-A22E81BFEBF1}" name="PivotTable4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34:B83" firstHeaderRow="1" firstDataRow="1" firstDataCol="1"/>
  <pivotFields count="15">
    <pivotField dataField="1" compact="0" outline="0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compact="0" outline="0" showAll="0"/>
    <pivotField axis="axisRow" compact="0" outline="0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compact="0" outline="0" showAll="0">
      <items count="935">
        <item x="178"/>
        <item x="159"/>
        <item x="97"/>
        <item x="441"/>
        <item x="265"/>
        <item x="401"/>
        <item x="0"/>
        <item x="408"/>
        <item x="229"/>
        <item x="370"/>
        <item x="61"/>
        <item x="463"/>
        <item x="860"/>
        <item x="604"/>
        <item x="426"/>
        <item x="608"/>
        <item x="877"/>
        <item x="932"/>
        <item x="822"/>
        <item x="150"/>
        <item x="335"/>
        <item x="885"/>
        <item x="888"/>
        <item x="169"/>
        <item x="609"/>
        <item x="826"/>
        <item x="905"/>
        <item x="862"/>
        <item x="270"/>
        <item x="221"/>
        <item x="503"/>
        <item x="476"/>
        <item x="536"/>
        <item x="388"/>
        <item x="678"/>
        <item x="455"/>
        <item x="83"/>
        <item x="255"/>
        <item x="137"/>
        <item x="35"/>
        <item x="496"/>
        <item x="398"/>
        <item x="342"/>
        <item x="261"/>
        <item x="857"/>
        <item x="655"/>
        <item x="879"/>
        <item x="639"/>
        <item x="569"/>
        <item x="384"/>
        <item x="929"/>
        <item x="771"/>
        <item x="727"/>
        <item x="161"/>
        <item x="893"/>
        <item x="25"/>
        <item x="228"/>
        <item x="130"/>
        <item x="71"/>
        <item x="53"/>
        <item x="606"/>
        <item x="762"/>
        <item x="383"/>
        <item x="856"/>
        <item x="99"/>
        <item x="465"/>
        <item x="585"/>
        <item x="333"/>
        <item x="104"/>
        <item x="129"/>
        <item x="30"/>
        <item x="359"/>
        <item x="55"/>
        <item x="918"/>
        <item x="415"/>
        <item x="266"/>
        <item x="478"/>
        <item x="82"/>
        <item x="157"/>
        <item x="490"/>
        <item x="260"/>
        <item x="736"/>
        <item x="127"/>
        <item x="293"/>
        <item x="580"/>
        <item x="468"/>
        <item x="289"/>
        <item x="390"/>
        <item x="588"/>
        <item x="65"/>
        <item x="438"/>
        <item x="191"/>
        <item x="210"/>
        <item x="302"/>
        <item x="332"/>
        <item x="592"/>
        <item x="33"/>
        <item x="301"/>
        <item x="421"/>
        <item x="595"/>
        <item x="237"/>
        <item x="597"/>
        <item x="208"/>
        <item x="9"/>
        <item x="243"/>
        <item x="351"/>
        <item x="188"/>
        <item x="625"/>
        <item x="409"/>
        <item x="887"/>
        <item x="59"/>
        <item x="372"/>
        <item x="121"/>
        <item x="139"/>
        <item x="234"/>
        <item x="174"/>
        <item x="483"/>
        <item x="273"/>
        <item x="209"/>
        <item x="661"/>
        <item x="512"/>
        <item x="51"/>
        <item x="278"/>
        <item x="249"/>
        <item x="362"/>
        <item x="605"/>
        <item x="486"/>
        <item x="187"/>
        <item x="769"/>
        <item x="403"/>
        <item x="19"/>
        <item x="631"/>
        <item x="855"/>
        <item x="423"/>
        <item x="170"/>
        <item x="679"/>
        <item x="136"/>
        <item x="122"/>
        <item x="269"/>
        <item x="615"/>
        <item x="457"/>
        <item x="133"/>
        <item x="23"/>
        <item x="38"/>
        <item x="439"/>
        <item x="494"/>
        <item x="48"/>
        <item x="436"/>
        <item x="49"/>
        <item x="399"/>
        <item x="295"/>
        <item x="807"/>
        <item x="336"/>
        <item x="231"/>
        <item x="843"/>
        <item x="389"/>
        <item x="646"/>
        <item x="343"/>
        <item x="627"/>
        <item x="257"/>
        <item x="742"/>
        <item x="805"/>
        <item x="70"/>
        <item x="365"/>
        <item x="85"/>
        <item x="167"/>
        <item x="144"/>
        <item x="538"/>
        <item x="690"/>
        <item x="581"/>
        <item x="402"/>
        <item x="143"/>
        <item x="647"/>
        <item x="669"/>
        <item x="686"/>
        <item x="47"/>
        <item x="755"/>
        <item x="32"/>
        <item x="500"/>
        <item x="90"/>
        <item x="224"/>
        <item x="165"/>
        <item x="248"/>
        <item x="162"/>
        <item x="1"/>
        <item x="630"/>
        <item x="607"/>
        <item x="15"/>
        <item x="452"/>
        <item x="16"/>
        <item x="63"/>
        <item x="375"/>
        <item x="541"/>
        <item x="217"/>
        <item x="680"/>
        <item x="132"/>
        <item x="216"/>
        <item x="590"/>
        <item x="34"/>
        <item x="201"/>
        <item x="380"/>
        <item x="240"/>
        <item x="498"/>
        <item x="504"/>
        <item x="101"/>
        <item x="195"/>
        <item x="413"/>
        <item x="619"/>
        <item x="614"/>
        <item x="199"/>
        <item x="846"/>
        <item x="57"/>
        <item x="172"/>
        <item x="232"/>
        <item x="570"/>
        <item x="532"/>
        <item x="601"/>
        <item x="412"/>
        <item x="324"/>
        <item x="268"/>
        <item x="120"/>
        <item x="695"/>
        <item x="766"/>
        <item x="176"/>
        <item x="292"/>
        <item x="267"/>
        <item x="271"/>
        <item x="775"/>
        <item x="334"/>
        <item x="200"/>
        <item x="341"/>
        <item x="908"/>
        <item x="803"/>
        <item x="533"/>
        <item x="8"/>
        <item x="385"/>
        <item x="275"/>
        <item x="307"/>
        <item x="160"/>
        <item x="310"/>
        <item x="791"/>
        <item x="128"/>
        <item x="355"/>
        <item x="17"/>
        <item x="294"/>
        <item x="78"/>
        <item x="711"/>
        <item x="571"/>
        <item x="719"/>
        <item x="790"/>
        <item x="105"/>
        <item x="484"/>
        <item x="151"/>
        <item x="410"/>
        <item x="3"/>
        <item x="256"/>
        <item x="430"/>
        <item x="545"/>
        <item x="202"/>
        <item x="751"/>
        <item x="629"/>
        <item x="153"/>
        <item x="392"/>
        <item x="26"/>
        <item x="665"/>
        <item x="400"/>
        <item x="37"/>
        <item x="644"/>
        <item x="406"/>
        <item x="418"/>
        <item x="632"/>
        <item x="557"/>
        <item x="180"/>
        <item x="138"/>
        <item x="759"/>
        <item x="811"/>
        <item x="152"/>
        <item x="464"/>
        <item x="931"/>
        <item x="7"/>
        <item x="664"/>
        <item x="145"/>
        <item x="722"/>
        <item x="253"/>
        <item x="363"/>
        <item x="446"/>
        <item x="29"/>
        <item x="758"/>
        <item x="387"/>
        <item x="397"/>
        <item x="50"/>
        <item x="329"/>
        <item x="654"/>
        <item x="52"/>
        <item x="80"/>
        <item x="245"/>
        <item x="300"/>
        <item x="624"/>
        <item x="567"/>
        <item x="318"/>
        <item x="394"/>
        <item x="687"/>
        <item x="325"/>
        <item x="272"/>
        <item x="443"/>
        <item x="429"/>
        <item x="280"/>
        <item x="39"/>
        <item x="522"/>
        <item x="705"/>
        <item x="171"/>
        <item x="347"/>
        <item x="458"/>
        <item x="535"/>
        <item x="20"/>
        <item x="910"/>
        <item x="548"/>
        <item x="369"/>
        <item x="236"/>
        <item x="112"/>
        <item x="73"/>
        <item x="239"/>
        <item x="926"/>
        <item x="613"/>
        <item x="788"/>
        <item x="125"/>
        <item x="303"/>
        <item x="226"/>
        <item x="291"/>
        <item x="299"/>
        <item x="102"/>
        <item x="600"/>
        <item x="357"/>
        <item x="108"/>
        <item x="511"/>
        <item x="206"/>
        <item x="544"/>
        <item x="354"/>
        <item x="193"/>
        <item x="425"/>
        <item x="340"/>
        <item x="587"/>
        <item x="594"/>
        <item x="21"/>
        <item x="84"/>
        <item x="528"/>
        <item x="642"/>
        <item x="344"/>
        <item x="550"/>
        <item x="219"/>
        <item x="68"/>
        <item x="356"/>
        <item x="672"/>
        <item x="134"/>
        <item x="367"/>
        <item x="196"/>
        <item x="142"/>
        <item x="297"/>
        <item x="591"/>
        <item x="72"/>
        <item x="286"/>
        <item x="379"/>
        <item x="242"/>
        <item x="126"/>
        <item x="816"/>
        <item x="11"/>
        <item x="182"/>
        <item x="364"/>
        <item x="660"/>
        <item x="183"/>
        <item x="432"/>
        <item x="659"/>
        <item x="235"/>
        <item x="850"/>
        <item x="308"/>
        <item x="869"/>
        <item x="534"/>
        <item x="612"/>
        <item x="88"/>
        <item x="93"/>
        <item x="79"/>
        <item x="155"/>
        <item x="179"/>
        <item x="28"/>
        <item x="707"/>
        <item x="18"/>
        <item x="440"/>
        <item x="353"/>
        <item x="258"/>
        <item x="599"/>
        <item x="728"/>
        <item x="309"/>
        <item x="147"/>
        <item x="424"/>
        <item x="168"/>
        <item x="184"/>
        <item x="793"/>
        <item x="574"/>
        <item x="515"/>
        <item x="166"/>
        <item x="699"/>
        <item x="119"/>
        <item x="434"/>
        <item x="422"/>
        <item x="98"/>
        <item x="213"/>
        <item x="459"/>
        <item x="230"/>
        <item x="789"/>
        <item x="582"/>
        <item x="526"/>
        <item x="589"/>
        <item x="190"/>
        <item x="641"/>
        <item x="715"/>
        <item x="706"/>
        <item x="352"/>
        <item x="10"/>
        <item x="42"/>
        <item x="514"/>
        <item x="86"/>
        <item x="76"/>
        <item x="123"/>
        <item x="173"/>
        <item x="282"/>
        <item x="204"/>
        <item x="6"/>
        <item x="842"/>
        <item x="572"/>
        <item x="495"/>
        <item x="740"/>
        <item x="502"/>
        <item x="218"/>
        <item x="628"/>
        <item x="634"/>
        <item x="623"/>
        <item x="576"/>
        <item x="448"/>
        <item x="472"/>
        <item x="4"/>
        <item x="382"/>
        <item x="881"/>
        <item x="551"/>
        <item x="140"/>
        <item x="27"/>
        <item x="405"/>
        <item x="214"/>
        <item x="884"/>
        <item x="222"/>
        <item x="461"/>
        <item x="211"/>
        <item x="787"/>
        <item x="491"/>
        <item x="215"/>
        <item x="296"/>
        <item x="207"/>
        <item x="277"/>
        <item x="635"/>
        <item x="75"/>
        <item x="785"/>
        <item x="466"/>
        <item x="395"/>
        <item x="721"/>
        <item x="523"/>
        <item x="737"/>
        <item x="542"/>
        <item x="233"/>
        <item x="684"/>
        <item x="115"/>
        <item x="396"/>
        <item x="316"/>
        <item x="841"/>
        <item x="110"/>
        <item x="738"/>
        <item x="322"/>
        <item x="247"/>
        <item x="530"/>
        <item x="701"/>
        <item x="552"/>
        <item x="553"/>
        <item x="156"/>
        <item x="501"/>
        <item x="750"/>
        <item x="148"/>
        <item x="854"/>
        <item x="89"/>
        <item x="480"/>
        <item x="227"/>
        <item x="547"/>
        <item x="205"/>
        <item x="198"/>
        <item x="556"/>
        <item x="470"/>
        <item x="366"/>
        <item x="829"/>
        <item x="407"/>
        <item x="821"/>
        <item x="94"/>
        <item x="56"/>
        <item x="113"/>
        <item x="734"/>
        <item x="427"/>
        <item x="305"/>
        <item x="46"/>
        <item x="259"/>
        <item x="565"/>
        <item x="761"/>
        <item x="444"/>
        <item x="58"/>
        <item x="780"/>
        <item x="281"/>
        <item x="554"/>
        <item x="337"/>
        <item x="497"/>
        <item x="92"/>
        <item x="146"/>
        <item x="203"/>
        <item x="225"/>
        <item x="456"/>
        <item x="313"/>
        <item x="404"/>
        <item x="834"/>
        <item x="244"/>
        <item x="779"/>
        <item x="757"/>
        <item x="667"/>
        <item x="730"/>
        <item x="633"/>
        <item x="563"/>
        <item x="450"/>
        <item x="14"/>
        <item x="114"/>
        <item x="668"/>
        <item x="783"/>
        <item x="618"/>
        <item x="748"/>
        <item x="246"/>
        <item x="212"/>
        <item x="509"/>
        <item x="469"/>
        <item x="666"/>
        <item x="735"/>
        <item x="197"/>
        <item x="704"/>
        <item x="657"/>
        <item x="419"/>
        <item x="43"/>
        <item x="596"/>
        <item x="794"/>
        <item x="725"/>
        <item x="192"/>
        <item x="276"/>
        <item x="62"/>
        <item x="327"/>
        <item x="135"/>
        <item x="181"/>
        <item x="393"/>
        <item x="330"/>
        <item x="579"/>
        <item x="163"/>
        <item x="673"/>
        <item x="451"/>
        <item x="264"/>
        <item x="911"/>
        <item x="431"/>
        <item x="578"/>
        <item x="471"/>
        <item x="45"/>
        <item x="60"/>
        <item x="760"/>
        <item x="254"/>
        <item x="674"/>
        <item x="598"/>
        <item x="925"/>
        <item x="928"/>
        <item x="774"/>
        <item x="866"/>
        <item x="489"/>
        <item x="583"/>
        <item x="462"/>
        <item x="559"/>
        <item x="391"/>
        <item x="524"/>
        <item x="899"/>
        <item x="111"/>
        <item x="378"/>
        <item x="651"/>
        <item x="508"/>
        <item x="773"/>
        <item x="858"/>
        <item x="326"/>
        <item x="746"/>
        <item x="603"/>
        <item x="417"/>
        <item x="752"/>
        <item x="492"/>
        <item x="91"/>
        <item x="285"/>
        <item x="487"/>
        <item x="374"/>
        <item x="913"/>
        <item x="577"/>
        <item x="859"/>
        <item x="124"/>
        <item x="836"/>
        <item x="823"/>
        <item x="164"/>
        <item x="767"/>
        <item x="903"/>
        <item x="107"/>
        <item x="897"/>
        <item x="741"/>
        <item x="828"/>
        <item x="863"/>
        <item x="81"/>
        <item x="693"/>
        <item x="312"/>
        <item x="777"/>
        <item x="710"/>
        <item x="505"/>
        <item x="158"/>
        <item x="473"/>
        <item x="898"/>
        <item x="716"/>
        <item x="685"/>
        <item x="77"/>
        <item x="561"/>
        <item x="414"/>
        <item x="546"/>
        <item x="304"/>
        <item x="22"/>
        <item x="442"/>
        <item x="889"/>
        <item x="454"/>
        <item x="611"/>
        <item x="902"/>
        <item x="697"/>
        <item x="853"/>
        <item x="41"/>
        <item x="827"/>
        <item x="262"/>
        <item x="328"/>
        <item x="830"/>
        <item x="870"/>
        <item x="453"/>
        <item x="521"/>
        <item x="186"/>
        <item x="428"/>
        <item x="844"/>
        <item x="220"/>
        <item x="921"/>
        <item x="682"/>
        <item x="445"/>
        <item x="890"/>
        <item x="321"/>
        <item x="298"/>
        <item x="5"/>
        <item x="331"/>
        <item x="371"/>
        <item x="861"/>
        <item x="922"/>
        <item x="726"/>
        <item x="883"/>
        <item x="636"/>
        <item x="872"/>
        <item x="845"/>
        <item x="100"/>
        <item x="798"/>
        <item x="288"/>
        <item x="564"/>
        <item x="555"/>
        <item x="345"/>
        <item x="874"/>
        <item x="744"/>
        <item x="602"/>
        <item x="376"/>
        <item x="909"/>
        <item x="768"/>
        <item x="753"/>
        <item x="449"/>
        <item x="804"/>
        <item x="797"/>
        <item x="813"/>
        <item x="507"/>
        <item x="154"/>
        <item x="479"/>
        <item x="724"/>
        <item x="808"/>
        <item x="317"/>
        <item x="691"/>
        <item x="241"/>
        <item x="117"/>
        <item x="745"/>
        <item x="13"/>
        <item x="689"/>
        <item x="723"/>
        <item x="24"/>
        <item x="527"/>
        <item x="346"/>
        <item x="66"/>
        <item x="69"/>
        <item x="141"/>
        <item x="314"/>
        <item x="763"/>
        <item x="411"/>
        <item x="238"/>
        <item x="677"/>
        <item x="820"/>
        <item x="54"/>
        <item x="338"/>
        <item x="739"/>
        <item x="116"/>
        <item x="754"/>
        <item x="638"/>
        <item x="520"/>
        <item x="923"/>
        <item x="109"/>
        <item x="306"/>
        <item x="368"/>
        <item x="743"/>
        <item x="283"/>
        <item x="824"/>
        <item x="95"/>
        <item x="895"/>
        <item x="420"/>
        <item x="252"/>
        <item x="482"/>
        <item x="864"/>
        <item x="477"/>
        <item x="568"/>
        <item x="381"/>
        <item x="831"/>
        <item x="263"/>
        <item x="573"/>
        <item x="840"/>
        <item x="549"/>
        <item x="350"/>
        <item x="732"/>
        <item x="558"/>
        <item x="812"/>
        <item x="433"/>
        <item x="900"/>
        <item x="876"/>
        <item x="849"/>
        <item x="194"/>
        <item x="818"/>
        <item x="871"/>
        <item x="67"/>
        <item x="709"/>
        <item x="475"/>
        <item x="729"/>
        <item x="543"/>
        <item x="287"/>
        <item x="539"/>
        <item x="765"/>
        <item x="358"/>
        <item x="279"/>
        <item x="361"/>
        <item x="875"/>
        <item x="620"/>
        <item x="320"/>
        <item x="919"/>
        <item x="435"/>
        <item x="904"/>
        <item x="835"/>
        <item x="540"/>
        <item x="593"/>
        <item x="772"/>
        <item x="386"/>
        <item x="319"/>
        <item x="74"/>
        <item x="175"/>
        <item x="653"/>
        <item x="617"/>
        <item x="852"/>
        <item x="720"/>
        <item x="485"/>
        <item x="882"/>
        <item x="733"/>
        <item x="460"/>
        <item x="339"/>
        <item x="518"/>
        <item x="250"/>
        <item x="901"/>
        <item x="681"/>
        <item x="698"/>
        <item x="649"/>
        <item x="290"/>
        <item x="683"/>
        <item x="892"/>
        <item x="867"/>
        <item x="348"/>
        <item x="782"/>
        <item x="562"/>
        <item x="315"/>
        <item x="586"/>
        <item x="756"/>
        <item x="189"/>
        <item x="920"/>
        <item x="671"/>
        <item x="2"/>
        <item x="506"/>
        <item x="792"/>
        <item x="703"/>
        <item x="643"/>
        <item x="851"/>
        <item x="610"/>
        <item x="349"/>
        <item x="531"/>
        <item x="575"/>
        <item x="251"/>
        <item x="675"/>
        <item x="64"/>
        <item x="377"/>
        <item x="467"/>
        <item x="670"/>
        <item x="560"/>
        <item x="749"/>
        <item x="886"/>
        <item x="814"/>
        <item x="802"/>
        <item x="796"/>
        <item x="566"/>
        <item x="118"/>
        <item x="622"/>
        <item x="658"/>
        <item x="696"/>
        <item x="517"/>
        <item x="933"/>
        <item x="873"/>
        <item x="537"/>
        <item x="800"/>
        <item x="915"/>
        <item x="817"/>
        <item x="12"/>
        <item x="529"/>
        <item x="650"/>
        <item x="106"/>
        <item x="103"/>
        <item x="323"/>
        <item x="776"/>
        <item x="906"/>
        <item x="930"/>
        <item x="801"/>
        <item x="713"/>
        <item x="474"/>
        <item x="149"/>
        <item x="656"/>
        <item x="868"/>
        <item x="799"/>
        <item x="778"/>
        <item x="847"/>
        <item x="274"/>
        <item x="810"/>
        <item x="916"/>
        <item x="809"/>
        <item x="447"/>
        <item x="764"/>
        <item x="360"/>
        <item x="731"/>
        <item x="493"/>
        <item x="795"/>
        <item x="663"/>
        <item x="185"/>
        <item x="87"/>
        <item x="481"/>
        <item x="177"/>
        <item x="784"/>
        <item x="819"/>
        <item x="519"/>
        <item x="584"/>
        <item x="717"/>
        <item x="700"/>
        <item x="637"/>
        <item x="839"/>
        <item x="44"/>
        <item x="837"/>
        <item x="525"/>
        <item x="40"/>
        <item x="652"/>
        <item x="131"/>
        <item x="838"/>
        <item x="692"/>
        <item x="510"/>
        <item x="223"/>
        <item x="825"/>
        <item x="516"/>
        <item x="786"/>
        <item x="513"/>
        <item x="907"/>
        <item x="714"/>
        <item x="662"/>
        <item x="770"/>
        <item x="311"/>
        <item x="878"/>
        <item x="865"/>
        <item x="924"/>
        <item x="927"/>
        <item x="912"/>
        <item x="688"/>
        <item x="891"/>
        <item x="284"/>
        <item x="781"/>
        <item x="676"/>
        <item x="96"/>
        <item x="747"/>
        <item x="373"/>
        <item x="694"/>
        <item x="806"/>
        <item x="31"/>
        <item x="621"/>
        <item x="416"/>
        <item x="616"/>
        <item x="488"/>
        <item x="626"/>
        <item x="832"/>
        <item x="648"/>
        <item x="880"/>
        <item x="815"/>
        <item x="640"/>
        <item x="499"/>
        <item x="917"/>
        <item x="896"/>
        <item x="702"/>
        <item x="712"/>
        <item x="36"/>
        <item x="914"/>
        <item x="645"/>
        <item x="437"/>
        <item x="718"/>
        <item x="848"/>
        <item x="708"/>
        <item x="833"/>
        <item x="894"/>
        <item t="default"/>
      </items>
    </pivotField>
    <pivotField compact="0" outline="0" showAll="0"/>
    <pivotField compact="0" numFmtId="15" outline="0" showAll="0"/>
    <pivotField compact="0" numFmtId="15" outline="0" showAll="0"/>
    <pivotField compact="0" outline="0" showAll="0"/>
    <pivotField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5">
        <item x="2"/>
        <item x="1"/>
        <item x="3"/>
        <item x="0"/>
        <item t="default"/>
      </items>
    </pivotField>
  </pivotFields>
  <rowFields count="1">
    <field x="2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Count of TX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3D5D0-5451-4245-A7C4-ED203022C904}" name="PivotTable3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24:F31" firstHeaderRow="1" firstDataRow="2" firstDataCol="1"/>
  <pivotFields count="15">
    <pivotField compact="0" outline="0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numFmtId="15" outline="0" showAll="0"/>
    <pivotField compact="0" numFmtId="15" outline="0" showAll="0"/>
    <pivotField compact="0" outline="0" showAll="0"/>
    <pivotField axis="axisRow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compact="0" outline="0" showAll="0">
      <items count="5">
        <item x="2"/>
        <item x="1"/>
        <item x="3"/>
        <item x="0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7A46D-87F1-4E89-9C52-90FEDFBC4616}" name="PivotTable2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7:C21" firstHeaderRow="0" firstDataRow="1" firstDataCol="1"/>
  <pivotFields count="15"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15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Amount" fld="4" baseField="0" baseItem="0" numFmtId="165"/>
  </dataFields>
  <formats count="2">
    <format dxfId="5">
      <pivotArea outline="0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1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E9E86-A176-4C09-8112-2A408A22490C}" name="PivotTable1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4" firstHeaderRow="0" firstDataRow="1" firstDataCol="0"/>
  <pivotFields count="15"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15" outline="0" showAll="0"/>
    <pivotField compact="0" numFmtId="15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TX ID" fld="0" subtotal="count" baseField="0" baseItem="0"/>
    <dataField name="Sum of Quantity" fld="2" baseField="0" baseItem="0"/>
    <dataField name="Sum of Amount" fld="4" baseField="0" baseItem="0"/>
    <dataField name="Average of Rating C" fld="9" subtotal="average" baseField="0" baseItem="0"/>
    <dataField name="Average of Days to Deliver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27583-D3D7-4410-B709-B9B68E672CAB}" name="PivotTable5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9">
  <location ref="A86:E108" firstHeaderRow="1" firstDataRow="2" firstDataCol="1"/>
  <pivotFields count="15">
    <pivotField compact="0" outline="0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axis="axisRow" compact="0" outline="0" showAll="0" sortType="de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compact="0" outline="0" showAll="0"/>
    <pivotField compact="0" outline="0" showAll="0"/>
    <pivotField compact="0" numFmtId="15" outline="0" showAll="0"/>
    <pivotField compact="0" numFmtId="15" outline="0" showAll="0"/>
    <pivotField axis="axisCol" compact="0" outline="0" showAll="0">
      <items count="5">
        <item h="1" x="0"/>
        <item x="2"/>
        <item x="1"/>
        <item x="3"/>
        <item t="default"/>
      </items>
    </pivotField>
    <pivotField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5">
        <item x="2"/>
        <item x="1"/>
        <item x="3"/>
        <item x="0"/>
        <item t="default"/>
      </items>
    </pivotField>
  </pivotFields>
  <rowFields count="1">
    <field x="1"/>
  </rowFields>
  <rowItems count="21">
    <i>
      <x v="18"/>
    </i>
    <i>
      <x v="6"/>
    </i>
    <i>
      <x v="13"/>
    </i>
    <i>
      <x v="16"/>
    </i>
    <i>
      <x v="1"/>
    </i>
    <i>
      <x v="12"/>
    </i>
    <i>
      <x v="14"/>
    </i>
    <i>
      <x v="4"/>
    </i>
    <i>
      <x v="5"/>
    </i>
    <i>
      <x v="11"/>
    </i>
    <i>
      <x v="3"/>
    </i>
    <i>
      <x v="8"/>
    </i>
    <i>
      <x v="2"/>
    </i>
    <i>
      <x v="10"/>
    </i>
    <i>
      <x v="9"/>
    </i>
    <i>
      <x v="19"/>
    </i>
    <i>
      <x v="17"/>
    </i>
    <i>
      <x v="15"/>
    </i>
    <i>
      <x/>
    </i>
    <i>
      <x v="7"/>
    </i>
    <i t="grand">
      <x/>
    </i>
  </rowItems>
  <colFields count="1">
    <field x="7"/>
  </colFields>
  <colItems count="4">
    <i>
      <x v="1"/>
    </i>
    <i>
      <x v="2"/>
    </i>
    <i>
      <x v="3"/>
    </i>
    <i t="grand">
      <x/>
    </i>
  </colItems>
  <dataFields count="1">
    <dataField name="Sum of Quantity" fld="2" baseField="0" baseItem="0"/>
  </dataFields>
  <chartFormats count="28"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7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8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8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8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8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5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5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5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5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6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6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6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6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7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7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7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7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8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8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8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8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7B14E-3EB0-4648-AB57-E6FDDFF72D9A}" name="PivotTable9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2">
  <location ref="A195:B201" firstHeaderRow="1" firstDataRow="1" firstDataCol="1"/>
  <pivotFields count="15">
    <pivotField dataField="1" compact="0" outline="0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compact="0" outline="0" showAll="0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</pivotField>
    <pivotField compact="0" outline="0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compact="0" outline="0" showAll="0">
      <items count="935">
        <item x="178"/>
        <item x="159"/>
        <item x="97"/>
        <item x="441"/>
        <item x="265"/>
        <item x="401"/>
        <item x="0"/>
        <item x="408"/>
        <item x="229"/>
        <item x="370"/>
        <item x="61"/>
        <item x="463"/>
        <item x="860"/>
        <item x="604"/>
        <item x="426"/>
        <item x="608"/>
        <item x="877"/>
        <item x="932"/>
        <item x="822"/>
        <item x="150"/>
        <item x="335"/>
        <item x="885"/>
        <item x="888"/>
        <item x="169"/>
        <item x="609"/>
        <item x="826"/>
        <item x="905"/>
        <item x="862"/>
        <item x="270"/>
        <item x="221"/>
        <item x="503"/>
        <item x="476"/>
        <item x="536"/>
        <item x="388"/>
        <item x="678"/>
        <item x="455"/>
        <item x="83"/>
        <item x="255"/>
        <item x="137"/>
        <item x="35"/>
        <item x="496"/>
        <item x="398"/>
        <item x="342"/>
        <item x="261"/>
        <item x="857"/>
        <item x="655"/>
        <item x="879"/>
        <item x="639"/>
        <item x="569"/>
        <item x="384"/>
        <item x="929"/>
        <item x="771"/>
        <item x="727"/>
        <item x="161"/>
        <item x="893"/>
        <item x="25"/>
        <item x="228"/>
        <item x="130"/>
        <item x="71"/>
        <item x="53"/>
        <item x="606"/>
        <item x="762"/>
        <item x="383"/>
        <item x="856"/>
        <item x="99"/>
        <item x="465"/>
        <item x="585"/>
        <item x="333"/>
        <item x="104"/>
        <item x="129"/>
        <item x="30"/>
        <item x="359"/>
        <item x="55"/>
        <item x="918"/>
        <item x="415"/>
        <item x="266"/>
        <item x="478"/>
        <item x="82"/>
        <item x="157"/>
        <item x="490"/>
        <item x="260"/>
        <item x="736"/>
        <item x="127"/>
        <item x="293"/>
        <item x="580"/>
        <item x="468"/>
        <item x="289"/>
        <item x="390"/>
        <item x="588"/>
        <item x="65"/>
        <item x="438"/>
        <item x="191"/>
        <item x="210"/>
        <item x="302"/>
        <item x="332"/>
        <item x="592"/>
        <item x="33"/>
        <item x="301"/>
        <item x="421"/>
        <item x="595"/>
        <item x="237"/>
        <item x="597"/>
        <item x="208"/>
        <item x="9"/>
        <item x="243"/>
        <item x="351"/>
        <item x="188"/>
        <item x="625"/>
        <item x="409"/>
        <item x="887"/>
        <item x="59"/>
        <item x="372"/>
        <item x="121"/>
        <item x="139"/>
        <item x="234"/>
        <item x="174"/>
        <item x="483"/>
        <item x="273"/>
        <item x="209"/>
        <item x="661"/>
        <item x="512"/>
        <item x="51"/>
        <item x="278"/>
        <item x="249"/>
        <item x="362"/>
        <item x="605"/>
        <item x="486"/>
        <item x="187"/>
        <item x="769"/>
        <item x="403"/>
        <item x="19"/>
        <item x="631"/>
        <item x="855"/>
        <item x="423"/>
        <item x="170"/>
        <item x="679"/>
        <item x="136"/>
        <item x="122"/>
        <item x="269"/>
        <item x="615"/>
        <item x="457"/>
        <item x="133"/>
        <item x="23"/>
        <item x="38"/>
        <item x="439"/>
        <item x="494"/>
        <item x="48"/>
        <item x="436"/>
        <item x="49"/>
        <item x="399"/>
        <item x="295"/>
        <item x="807"/>
        <item x="336"/>
        <item x="231"/>
        <item x="843"/>
        <item x="389"/>
        <item x="646"/>
        <item x="343"/>
        <item x="627"/>
        <item x="257"/>
        <item x="742"/>
        <item x="805"/>
        <item x="70"/>
        <item x="365"/>
        <item x="85"/>
        <item x="167"/>
        <item x="144"/>
        <item x="538"/>
        <item x="690"/>
        <item x="581"/>
        <item x="402"/>
        <item x="143"/>
        <item x="647"/>
        <item x="669"/>
        <item x="686"/>
        <item x="47"/>
        <item x="755"/>
        <item x="32"/>
        <item x="500"/>
        <item x="90"/>
        <item x="224"/>
        <item x="165"/>
        <item x="248"/>
        <item x="162"/>
        <item x="1"/>
        <item x="630"/>
        <item x="607"/>
        <item x="15"/>
        <item x="452"/>
        <item x="16"/>
        <item x="63"/>
        <item x="375"/>
        <item x="541"/>
        <item x="217"/>
        <item x="680"/>
        <item x="132"/>
        <item x="216"/>
        <item x="590"/>
        <item x="34"/>
        <item x="201"/>
        <item x="380"/>
        <item x="240"/>
        <item x="498"/>
        <item x="504"/>
        <item x="101"/>
        <item x="195"/>
        <item x="413"/>
        <item x="619"/>
        <item x="614"/>
        <item x="199"/>
        <item x="846"/>
        <item x="57"/>
        <item x="172"/>
        <item x="232"/>
        <item x="570"/>
        <item x="532"/>
        <item x="601"/>
        <item x="412"/>
        <item x="324"/>
        <item x="268"/>
        <item x="120"/>
        <item x="695"/>
        <item x="766"/>
        <item x="176"/>
        <item x="292"/>
        <item x="267"/>
        <item x="271"/>
        <item x="775"/>
        <item x="334"/>
        <item x="200"/>
        <item x="341"/>
        <item x="908"/>
        <item x="803"/>
        <item x="533"/>
        <item x="8"/>
        <item x="385"/>
        <item x="275"/>
        <item x="307"/>
        <item x="160"/>
        <item x="310"/>
        <item x="791"/>
        <item x="128"/>
        <item x="355"/>
        <item x="17"/>
        <item x="294"/>
        <item x="78"/>
        <item x="711"/>
        <item x="571"/>
        <item x="719"/>
        <item x="790"/>
        <item x="105"/>
        <item x="484"/>
        <item x="151"/>
        <item x="410"/>
        <item x="3"/>
        <item x="256"/>
        <item x="430"/>
        <item x="545"/>
        <item x="202"/>
        <item x="751"/>
        <item x="629"/>
        <item x="153"/>
        <item x="392"/>
        <item x="26"/>
        <item x="665"/>
        <item x="400"/>
        <item x="37"/>
        <item x="644"/>
        <item x="406"/>
        <item x="418"/>
        <item x="632"/>
        <item x="557"/>
        <item x="180"/>
        <item x="138"/>
        <item x="759"/>
        <item x="811"/>
        <item x="152"/>
        <item x="464"/>
        <item x="931"/>
        <item x="7"/>
        <item x="664"/>
        <item x="145"/>
        <item x="722"/>
        <item x="253"/>
        <item x="363"/>
        <item x="446"/>
        <item x="29"/>
        <item x="758"/>
        <item x="387"/>
        <item x="397"/>
        <item x="50"/>
        <item x="329"/>
        <item x="654"/>
        <item x="52"/>
        <item x="80"/>
        <item x="245"/>
        <item x="300"/>
        <item x="624"/>
        <item x="567"/>
        <item x="318"/>
        <item x="394"/>
        <item x="687"/>
        <item x="325"/>
        <item x="272"/>
        <item x="443"/>
        <item x="429"/>
        <item x="280"/>
        <item x="39"/>
        <item x="522"/>
        <item x="705"/>
        <item x="171"/>
        <item x="347"/>
        <item x="458"/>
        <item x="535"/>
        <item x="20"/>
        <item x="910"/>
        <item x="548"/>
        <item x="369"/>
        <item x="236"/>
        <item x="112"/>
        <item x="73"/>
        <item x="239"/>
        <item x="926"/>
        <item x="613"/>
        <item x="788"/>
        <item x="125"/>
        <item x="303"/>
        <item x="226"/>
        <item x="291"/>
        <item x="299"/>
        <item x="102"/>
        <item x="600"/>
        <item x="357"/>
        <item x="108"/>
        <item x="511"/>
        <item x="206"/>
        <item x="544"/>
        <item x="354"/>
        <item x="193"/>
        <item x="425"/>
        <item x="340"/>
        <item x="587"/>
        <item x="594"/>
        <item x="21"/>
        <item x="84"/>
        <item x="528"/>
        <item x="642"/>
        <item x="344"/>
        <item x="550"/>
        <item x="219"/>
        <item x="68"/>
        <item x="356"/>
        <item x="672"/>
        <item x="134"/>
        <item x="367"/>
        <item x="196"/>
        <item x="142"/>
        <item x="297"/>
        <item x="591"/>
        <item x="72"/>
        <item x="286"/>
        <item x="379"/>
        <item x="242"/>
        <item x="126"/>
        <item x="816"/>
        <item x="11"/>
        <item x="182"/>
        <item x="364"/>
        <item x="660"/>
        <item x="183"/>
        <item x="432"/>
        <item x="659"/>
        <item x="235"/>
        <item x="850"/>
        <item x="308"/>
        <item x="869"/>
        <item x="534"/>
        <item x="612"/>
        <item x="88"/>
        <item x="93"/>
        <item x="79"/>
        <item x="155"/>
        <item x="179"/>
        <item x="28"/>
        <item x="707"/>
        <item x="18"/>
        <item x="440"/>
        <item x="353"/>
        <item x="258"/>
        <item x="599"/>
        <item x="728"/>
        <item x="309"/>
        <item x="147"/>
        <item x="424"/>
        <item x="168"/>
        <item x="184"/>
        <item x="793"/>
        <item x="574"/>
        <item x="515"/>
        <item x="166"/>
        <item x="699"/>
        <item x="119"/>
        <item x="434"/>
        <item x="422"/>
        <item x="98"/>
        <item x="213"/>
        <item x="459"/>
        <item x="230"/>
        <item x="789"/>
        <item x="582"/>
        <item x="526"/>
        <item x="589"/>
        <item x="190"/>
        <item x="641"/>
        <item x="715"/>
        <item x="706"/>
        <item x="352"/>
        <item x="10"/>
        <item x="42"/>
        <item x="514"/>
        <item x="86"/>
        <item x="76"/>
        <item x="123"/>
        <item x="173"/>
        <item x="282"/>
        <item x="204"/>
        <item x="6"/>
        <item x="842"/>
        <item x="572"/>
        <item x="495"/>
        <item x="740"/>
        <item x="502"/>
        <item x="218"/>
        <item x="628"/>
        <item x="634"/>
        <item x="623"/>
        <item x="576"/>
        <item x="448"/>
        <item x="472"/>
        <item x="4"/>
        <item x="382"/>
        <item x="881"/>
        <item x="551"/>
        <item x="140"/>
        <item x="27"/>
        <item x="405"/>
        <item x="214"/>
        <item x="884"/>
        <item x="222"/>
        <item x="461"/>
        <item x="211"/>
        <item x="787"/>
        <item x="491"/>
        <item x="215"/>
        <item x="296"/>
        <item x="207"/>
        <item x="277"/>
        <item x="635"/>
        <item x="75"/>
        <item x="785"/>
        <item x="466"/>
        <item x="395"/>
        <item x="721"/>
        <item x="523"/>
        <item x="737"/>
        <item x="542"/>
        <item x="233"/>
        <item x="684"/>
        <item x="115"/>
        <item x="396"/>
        <item x="316"/>
        <item x="841"/>
        <item x="110"/>
        <item x="738"/>
        <item x="322"/>
        <item x="247"/>
        <item x="530"/>
        <item x="701"/>
        <item x="552"/>
        <item x="553"/>
        <item x="156"/>
        <item x="501"/>
        <item x="750"/>
        <item x="148"/>
        <item x="854"/>
        <item x="89"/>
        <item x="480"/>
        <item x="227"/>
        <item x="547"/>
        <item x="205"/>
        <item x="198"/>
        <item x="556"/>
        <item x="470"/>
        <item x="366"/>
        <item x="829"/>
        <item x="407"/>
        <item x="821"/>
        <item x="94"/>
        <item x="56"/>
        <item x="113"/>
        <item x="734"/>
        <item x="427"/>
        <item x="305"/>
        <item x="46"/>
        <item x="259"/>
        <item x="565"/>
        <item x="761"/>
        <item x="444"/>
        <item x="58"/>
        <item x="780"/>
        <item x="281"/>
        <item x="554"/>
        <item x="337"/>
        <item x="497"/>
        <item x="92"/>
        <item x="146"/>
        <item x="203"/>
        <item x="225"/>
        <item x="456"/>
        <item x="313"/>
        <item x="404"/>
        <item x="834"/>
        <item x="244"/>
        <item x="779"/>
        <item x="757"/>
        <item x="667"/>
        <item x="730"/>
        <item x="633"/>
        <item x="563"/>
        <item x="450"/>
        <item x="14"/>
        <item x="114"/>
        <item x="668"/>
        <item x="783"/>
        <item x="618"/>
        <item x="748"/>
        <item x="246"/>
        <item x="212"/>
        <item x="509"/>
        <item x="469"/>
        <item x="666"/>
        <item x="735"/>
        <item x="197"/>
        <item x="704"/>
        <item x="657"/>
        <item x="419"/>
        <item x="43"/>
        <item x="596"/>
        <item x="794"/>
        <item x="725"/>
        <item x="192"/>
        <item x="276"/>
        <item x="62"/>
        <item x="327"/>
        <item x="135"/>
        <item x="181"/>
        <item x="393"/>
        <item x="330"/>
        <item x="579"/>
        <item x="163"/>
        <item x="673"/>
        <item x="451"/>
        <item x="264"/>
        <item x="911"/>
        <item x="431"/>
        <item x="578"/>
        <item x="471"/>
        <item x="45"/>
        <item x="60"/>
        <item x="760"/>
        <item x="254"/>
        <item x="674"/>
        <item x="598"/>
        <item x="925"/>
        <item x="928"/>
        <item x="774"/>
        <item x="866"/>
        <item x="489"/>
        <item x="583"/>
        <item x="462"/>
        <item x="559"/>
        <item x="391"/>
        <item x="524"/>
        <item x="899"/>
        <item x="111"/>
        <item x="378"/>
        <item x="651"/>
        <item x="508"/>
        <item x="773"/>
        <item x="858"/>
        <item x="326"/>
        <item x="746"/>
        <item x="603"/>
        <item x="417"/>
        <item x="752"/>
        <item x="492"/>
        <item x="91"/>
        <item x="285"/>
        <item x="487"/>
        <item x="374"/>
        <item x="913"/>
        <item x="577"/>
        <item x="859"/>
        <item x="124"/>
        <item x="836"/>
        <item x="823"/>
        <item x="164"/>
        <item x="767"/>
        <item x="903"/>
        <item x="107"/>
        <item x="897"/>
        <item x="741"/>
        <item x="828"/>
        <item x="863"/>
        <item x="81"/>
        <item x="693"/>
        <item x="312"/>
        <item x="777"/>
        <item x="710"/>
        <item x="505"/>
        <item x="158"/>
        <item x="473"/>
        <item x="898"/>
        <item x="716"/>
        <item x="685"/>
        <item x="77"/>
        <item x="561"/>
        <item x="414"/>
        <item x="546"/>
        <item x="304"/>
        <item x="22"/>
        <item x="442"/>
        <item x="889"/>
        <item x="454"/>
        <item x="611"/>
        <item x="902"/>
        <item x="697"/>
        <item x="853"/>
        <item x="41"/>
        <item x="827"/>
        <item x="262"/>
        <item x="328"/>
        <item x="830"/>
        <item x="870"/>
        <item x="453"/>
        <item x="521"/>
        <item x="186"/>
        <item x="428"/>
        <item x="844"/>
        <item x="220"/>
        <item x="921"/>
        <item x="682"/>
        <item x="445"/>
        <item x="890"/>
        <item x="321"/>
        <item x="298"/>
        <item x="5"/>
        <item x="331"/>
        <item x="371"/>
        <item x="861"/>
        <item x="922"/>
        <item x="726"/>
        <item x="883"/>
        <item x="636"/>
        <item x="872"/>
        <item x="845"/>
        <item x="100"/>
        <item x="798"/>
        <item x="288"/>
        <item x="564"/>
        <item x="555"/>
        <item x="345"/>
        <item x="874"/>
        <item x="744"/>
        <item x="602"/>
        <item x="376"/>
        <item x="909"/>
        <item x="768"/>
        <item x="753"/>
        <item x="449"/>
        <item x="804"/>
        <item x="797"/>
        <item x="813"/>
        <item x="507"/>
        <item x="154"/>
        <item x="479"/>
        <item x="724"/>
        <item x="808"/>
        <item x="317"/>
        <item x="691"/>
        <item x="241"/>
        <item x="117"/>
        <item x="745"/>
        <item x="13"/>
        <item x="689"/>
        <item x="723"/>
        <item x="24"/>
        <item x="527"/>
        <item x="346"/>
        <item x="66"/>
        <item x="69"/>
        <item x="141"/>
        <item x="314"/>
        <item x="763"/>
        <item x="411"/>
        <item x="238"/>
        <item x="677"/>
        <item x="820"/>
        <item x="54"/>
        <item x="338"/>
        <item x="739"/>
        <item x="116"/>
        <item x="754"/>
        <item x="638"/>
        <item x="520"/>
        <item x="923"/>
        <item x="109"/>
        <item x="306"/>
        <item x="368"/>
        <item x="743"/>
        <item x="283"/>
        <item x="824"/>
        <item x="95"/>
        <item x="895"/>
        <item x="420"/>
        <item x="252"/>
        <item x="482"/>
        <item x="864"/>
        <item x="477"/>
        <item x="568"/>
        <item x="381"/>
        <item x="831"/>
        <item x="263"/>
        <item x="573"/>
        <item x="840"/>
        <item x="549"/>
        <item x="350"/>
        <item x="732"/>
        <item x="558"/>
        <item x="812"/>
        <item x="433"/>
        <item x="900"/>
        <item x="876"/>
        <item x="849"/>
        <item x="194"/>
        <item x="818"/>
        <item x="871"/>
        <item x="67"/>
        <item x="709"/>
        <item x="475"/>
        <item x="729"/>
        <item x="543"/>
        <item x="287"/>
        <item x="539"/>
        <item x="765"/>
        <item x="358"/>
        <item x="279"/>
        <item x="361"/>
        <item x="875"/>
        <item x="620"/>
        <item x="320"/>
        <item x="919"/>
        <item x="435"/>
        <item x="904"/>
        <item x="835"/>
        <item x="540"/>
        <item x="593"/>
        <item x="772"/>
        <item x="386"/>
        <item x="319"/>
        <item x="74"/>
        <item x="175"/>
        <item x="653"/>
        <item x="617"/>
        <item x="852"/>
        <item x="720"/>
        <item x="485"/>
        <item x="882"/>
        <item x="733"/>
        <item x="460"/>
        <item x="339"/>
        <item x="518"/>
        <item x="250"/>
        <item x="901"/>
        <item x="681"/>
        <item x="698"/>
        <item x="649"/>
        <item x="290"/>
        <item x="683"/>
        <item x="892"/>
        <item x="867"/>
        <item x="348"/>
        <item x="782"/>
        <item x="562"/>
        <item x="315"/>
        <item x="586"/>
        <item x="756"/>
        <item x="189"/>
        <item x="920"/>
        <item x="671"/>
        <item x="2"/>
        <item x="506"/>
        <item x="792"/>
        <item x="703"/>
        <item x="643"/>
        <item x="851"/>
        <item x="610"/>
        <item x="349"/>
        <item x="531"/>
        <item x="575"/>
        <item x="251"/>
        <item x="675"/>
        <item x="64"/>
        <item x="377"/>
        <item x="467"/>
        <item x="670"/>
        <item x="560"/>
        <item x="749"/>
        <item x="886"/>
        <item x="814"/>
        <item x="802"/>
        <item x="796"/>
        <item x="566"/>
        <item x="118"/>
        <item x="622"/>
        <item x="658"/>
        <item x="696"/>
        <item x="517"/>
        <item x="933"/>
        <item x="873"/>
        <item x="537"/>
        <item x="800"/>
        <item x="915"/>
        <item x="817"/>
        <item x="12"/>
        <item x="529"/>
        <item x="650"/>
        <item x="106"/>
        <item x="103"/>
        <item x="323"/>
        <item x="776"/>
        <item x="906"/>
        <item x="930"/>
        <item x="801"/>
        <item x="713"/>
        <item x="474"/>
        <item x="149"/>
        <item x="656"/>
        <item x="868"/>
        <item x="799"/>
        <item x="778"/>
        <item x="847"/>
        <item x="274"/>
        <item x="810"/>
        <item x="916"/>
        <item x="809"/>
        <item x="447"/>
        <item x="764"/>
        <item x="360"/>
        <item x="731"/>
        <item x="493"/>
        <item x="795"/>
        <item x="663"/>
        <item x="185"/>
        <item x="87"/>
        <item x="481"/>
        <item x="177"/>
        <item x="784"/>
        <item x="819"/>
        <item x="519"/>
        <item x="584"/>
        <item x="717"/>
        <item x="700"/>
        <item x="637"/>
        <item x="839"/>
        <item x="44"/>
        <item x="837"/>
        <item x="525"/>
        <item x="40"/>
        <item x="652"/>
        <item x="131"/>
        <item x="838"/>
        <item x="692"/>
        <item x="510"/>
        <item x="223"/>
        <item x="825"/>
        <item x="516"/>
        <item x="786"/>
        <item x="513"/>
        <item x="907"/>
        <item x="714"/>
        <item x="662"/>
        <item x="770"/>
        <item x="311"/>
        <item x="878"/>
        <item x="865"/>
        <item x="924"/>
        <item x="927"/>
        <item x="912"/>
        <item x="688"/>
        <item x="891"/>
        <item x="284"/>
        <item x="781"/>
        <item x="676"/>
        <item x="96"/>
        <item x="747"/>
        <item x="373"/>
        <item x="694"/>
        <item x="806"/>
        <item x="31"/>
        <item x="621"/>
        <item x="416"/>
        <item x="616"/>
        <item x="488"/>
        <item x="626"/>
        <item x="832"/>
        <item x="648"/>
        <item x="880"/>
        <item x="815"/>
        <item x="640"/>
        <item x="499"/>
        <item x="917"/>
        <item x="896"/>
        <item x="702"/>
        <item x="712"/>
        <item x="36"/>
        <item x="914"/>
        <item x="645"/>
        <item x="437"/>
        <item x="718"/>
        <item x="848"/>
        <item x="708"/>
        <item x="833"/>
        <item x="894"/>
        <item t="default"/>
      </items>
    </pivotField>
    <pivotField compact="0" outline="0" showAll="0"/>
    <pivotField compact="0" numFmtId="15" outline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numFmtId="15" outline="0" showAll="0">
      <items count="97">
        <item x="3"/>
        <item x="1"/>
        <item x="2"/>
        <item x="5"/>
        <item x="0"/>
        <item x="4"/>
        <item x="6"/>
        <item x="8"/>
        <item x="9"/>
        <item x="7"/>
        <item x="12"/>
        <item x="14"/>
        <item x="16"/>
        <item x="11"/>
        <item x="15"/>
        <item x="10"/>
        <item x="13"/>
        <item x="18"/>
        <item x="21"/>
        <item x="20"/>
        <item x="24"/>
        <item x="23"/>
        <item x="25"/>
        <item x="17"/>
        <item x="19"/>
        <item x="22"/>
        <item x="29"/>
        <item x="28"/>
        <item x="26"/>
        <item x="27"/>
        <item x="30"/>
        <item x="33"/>
        <item x="34"/>
        <item x="32"/>
        <item x="36"/>
        <item x="38"/>
        <item x="31"/>
        <item x="39"/>
        <item x="35"/>
        <item x="37"/>
        <item x="40"/>
        <item x="44"/>
        <item x="45"/>
        <item x="42"/>
        <item x="48"/>
        <item x="41"/>
        <item x="43"/>
        <item x="50"/>
        <item x="46"/>
        <item x="49"/>
        <item x="47"/>
        <item x="56"/>
        <item x="55"/>
        <item x="54"/>
        <item x="51"/>
        <item x="52"/>
        <item x="53"/>
        <item x="58"/>
        <item x="59"/>
        <item x="57"/>
        <item x="62"/>
        <item x="61"/>
        <item x="63"/>
        <item x="66"/>
        <item x="68"/>
        <item x="70"/>
        <item x="60"/>
        <item x="65"/>
        <item x="71"/>
        <item x="74"/>
        <item x="64"/>
        <item x="67"/>
        <item x="72"/>
        <item x="69"/>
        <item x="76"/>
        <item x="73"/>
        <item x="83"/>
        <item x="78"/>
        <item x="75"/>
        <item x="80"/>
        <item x="79"/>
        <item x="77"/>
        <item x="82"/>
        <item x="81"/>
        <item x="87"/>
        <item x="86"/>
        <item x="90"/>
        <item x="89"/>
        <item x="88"/>
        <item x="84"/>
        <item x="92"/>
        <item x="85"/>
        <item x="95"/>
        <item x="93"/>
        <item x="91"/>
        <item x="94"/>
        <item t="default"/>
      </items>
    </pivotField>
    <pivotField compact="0" outline="0" showAll="0">
      <items count="5">
        <item h="1" x="0"/>
        <item x="2"/>
        <item x="1"/>
        <item x="3"/>
        <item t="default"/>
      </items>
    </pivotField>
    <pivotField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6">
        <item x="3"/>
        <item x="4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5">
        <item x="2"/>
        <item x="1"/>
        <item x="3"/>
        <item x="0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X ID" fld="0" subtotal="count" baseField="0" baseItem="0"/>
  </dataFields>
  <chartFormats count="4">
    <chartFormat chart="3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F6BC8-FF18-4447-B3B4-A970CC10C133}" name="PivotTable8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4">
  <location ref="A176:B192" firstHeaderRow="1" firstDataRow="1" firstDataCol="1"/>
  <pivotFields count="15">
    <pivotField dataField="1" compact="0" outline="0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compact="0" outline="0" showAll="0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</pivotField>
    <pivotField compact="0" outline="0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compact="0" outline="0" showAll="0"/>
    <pivotField compact="0" outline="0" showAll="0"/>
    <pivotField compact="0" numFmtId="15" outline="0" showAll="0"/>
    <pivotField compact="0" numFmtId="15" outline="0" showAll="0"/>
    <pivotField compact="0" outline="0" showAll="0">
      <items count="5">
        <item h="1" x="0"/>
        <item x="2"/>
        <item x="1"/>
        <item x="3"/>
        <item t="default"/>
      </items>
    </pivotField>
    <pivotField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5">
        <item x="2"/>
        <item x="1"/>
        <item x="3"/>
        <item x="0"/>
        <item t="default"/>
      </items>
    </pivotField>
  </pivotFields>
  <rowFields count="1">
    <field x="1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TX ID" fld="0" subtotal="count" baseField="0" baseItem="0"/>
  </dataFields>
  <chartFormats count="4">
    <chartFormat chart="3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chandoo.org/wp/excel-school-program/" TargetMode="External"/><Relationship Id="rId1" Type="http://schemas.openxmlformats.org/officeDocument/2006/relationships/hyperlink" Target="https://youtu.be/l5qkg8gzY6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workbookViewId="0">
      <selection activeCell="E5" sqref="E5"/>
    </sheetView>
  </sheetViews>
  <sheetFormatPr defaultRowHeight="14.45"/>
  <cols>
    <col min="2" max="2" width="19.140625" bestFit="1" customWidth="1"/>
    <col min="3" max="3" width="8.140625" bestFit="1" customWidth="1"/>
    <col min="4" max="4" width="9.140625" bestFit="1" customWidth="1"/>
    <col min="5" max="5" width="7.42578125" bestFit="1" customWidth="1"/>
    <col min="6" max="6" width="10" bestFit="1" customWidth="1"/>
    <col min="7" max="7" width="9.42578125" bestFit="1" customWidth="1"/>
    <col min="8" max="8" width="15.7109375" bestFit="1" customWidth="1"/>
    <col min="9" max="9" width="10.7109375" bestFit="1" customWidth="1"/>
    <col min="10" max="10" width="7.7109375" bestFit="1" customWidth="1"/>
    <col min="11" max="11" width="8.7109375" bestFit="1" customWidth="1"/>
    <col min="12" max="12" width="19.7109375" bestFit="1" customWidth="1"/>
    <col min="13" max="13" width="13.28515625" bestFit="1" customWidth="1"/>
    <col min="14" max="14" width="9.28515625" bestFit="1" customWidth="1"/>
    <col min="15" max="15" width="12.140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20154-E552-4AA0-AE9B-A97A5A3E8E78}">
  <dimension ref="A2:L201"/>
  <sheetViews>
    <sheetView topLeftCell="A182" workbookViewId="0">
      <selection activeCell="B180" sqref="B180"/>
    </sheetView>
  </sheetViews>
  <sheetFormatPr defaultRowHeight="15"/>
  <cols>
    <col min="1" max="1" width="17.28515625" bestFit="1" customWidth="1"/>
    <col min="2" max="2" width="13.28515625" bestFit="1" customWidth="1"/>
    <col min="3" max="3" width="9.85546875" bestFit="1" customWidth="1"/>
    <col min="4" max="4" width="11.28515625" bestFit="1" customWidth="1"/>
    <col min="5" max="5" width="10.85546875" bestFit="1" customWidth="1"/>
    <col min="6" max="6" width="8.140625" bestFit="1" customWidth="1"/>
    <col min="7" max="7" width="11.140625" bestFit="1" customWidth="1"/>
    <col min="8" max="10" width="8.28515625" bestFit="1" customWidth="1"/>
    <col min="11" max="32" width="9.42578125" bestFit="1" customWidth="1"/>
    <col min="33" max="41" width="8.7109375" bestFit="1" customWidth="1"/>
    <col min="42" max="60" width="9.7109375" bestFit="1" customWidth="1"/>
    <col min="61" max="69" width="8.85546875" bestFit="1" customWidth="1"/>
    <col min="70" max="89" width="9.85546875" bestFit="1" customWidth="1"/>
    <col min="90" max="90" width="11.140625" bestFit="1" customWidth="1"/>
    <col min="91" max="91" width="3" bestFit="1" customWidth="1"/>
    <col min="92" max="100" width="4.85546875" bestFit="1" customWidth="1"/>
    <col min="101" max="101" width="3" bestFit="1" customWidth="1"/>
    <col min="102" max="110" width="4.85546875" bestFit="1" customWidth="1"/>
    <col min="111" max="111" width="3" bestFit="1" customWidth="1"/>
    <col min="112" max="119" width="4.85546875" bestFit="1" customWidth="1"/>
    <col min="120" max="120" width="3" bestFit="1" customWidth="1"/>
    <col min="121" max="129" width="4.85546875" bestFit="1" customWidth="1"/>
    <col min="130" max="130" width="3" bestFit="1" customWidth="1"/>
    <col min="131" max="139" width="4.85546875" bestFit="1" customWidth="1"/>
    <col min="140" max="140" width="3" bestFit="1" customWidth="1"/>
    <col min="141" max="149" width="4.85546875" bestFit="1" customWidth="1"/>
    <col min="150" max="150" width="3" bestFit="1" customWidth="1"/>
    <col min="151" max="159" width="4.85546875" bestFit="1" customWidth="1"/>
    <col min="160" max="160" width="3" bestFit="1" customWidth="1"/>
    <col min="161" max="169" width="4.85546875" bestFit="1" customWidth="1"/>
    <col min="170" max="170" width="3" bestFit="1" customWidth="1"/>
    <col min="171" max="179" width="4.85546875" bestFit="1" customWidth="1"/>
    <col min="180" max="180" width="3" bestFit="1" customWidth="1"/>
    <col min="181" max="189" width="4.85546875" bestFit="1" customWidth="1"/>
    <col min="190" max="190" width="3" bestFit="1" customWidth="1"/>
    <col min="191" max="199" width="4.85546875" bestFit="1" customWidth="1"/>
    <col min="200" max="200" width="3" bestFit="1" customWidth="1"/>
    <col min="201" max="209" width="4.85546875" bestFit="1" customWidth="1"/>
    <col min="210" max="210" width="3" bestFit="1" customWidth="1"/>
    <col min="211" max="219" width="4.85546875" bestFit="1" customWidth="1"/>
    <col min="220" max="220" width="3" bestFit="1" customWidth="1"/>
    <col min="221" max="228" width="4.85546875" bestFit="1" customWidth="1"/>
    <col min="229" max="229" width="3" bestFit="1" customWidth="1"/>
    <col min="230" max="238" width="4.85546875" bestFit="1" customWidth="1"/>
    <col min="239" max="239" width="3" bestFit="1" customWidth="1"/>
    <col min="240" max="248" width="4.85546875" bestFit="1" customWidth="1"/>
    <col min="249" max="249" width="3" bestFit="1" customWidth="1"/>
    <col min="250" max="258" width="4.85546875" bestFit="1" customWidth="1"/>
    <col min="259" max="259" width="3" bestFit="1" customWidth="1"/>
    <col min="260" max="267" width="4.85546875" bestFit="1" customWidth="1"/>
    <col min="268" max="268" width="3" bestFit="1" customWidth="1"/>
    <col min="269" max="277" width="4.85546875" bestFit="1" customWidth="1"/>
    <col min="278" max="278" width="3" bestFit="1" customWidth="1"/>
    <col min="279" max="287" width="4.85546875" bestFit="1" customWidth="1"/>
    <col min="288" max="288" width="3" bestFit="1" customWidth="1"/>
    <col min="289" max="297" width="4.85546875" bestFit="1" customWidth="1"/>
    <col min="298" max="298" width="3" bestFit="1" customWidth="1"/>
    <col min="299" max="307" width="4.85546875" bestFit="1" customWidth="1"/>
    <col min="308" max="308" width="3" bestFit="1" customWidth="1"/>
    <col min="309" max="317" width="4.85546875" bestFit="1" customWidth="1"/>
    <col min="318" max="318" width="3" bestFit="1" customWidth="1"/>
    <col min="319" max="327" width="4.85546875" bestFit="1" customWidth="1"/>
    <col min="328" max="328" width="3" bestFit="1" customWidth="1"/>
    <col min="329" max="337" width="4.85546875" bestFit="1" customWidth="1"/>
    <col min="338" max="338" width="3" bestFit="1" customWidth="1"/>
    <col min="339" max="347" width="4.85546875" bestFit="1" customWidth="1"/>
    <col min="348" max="348" width="3" bestFit="1" customWidth="1"/>
    <col min="349" max="356" width="4.85546875" bestFit="1" customWidth="1"/>
    <col min="357" max="357" width="3" bestFit="1" customWidth="1"/>
    <col min="358" max="366" width="4.85546875" bestFit="1" customWidth="1"/>
    <col min="367" max="367" width="3" bestFit="1" customWidth="1"/>
    <col min="368" max="385" width="4.85546875" bestFit="1" customWidth="1"/>
    <col min="386" max="386" width="3" bestFit="1" customWidth="1"/>
    <col min="387" max="395" width="4.85546875" bestFit="1" customWidth="1"/>
    <col min="396" max="396" width="3" bestFit="1" customWidth="1"/>
    <col min="397" max="405" width="4.85546875" bestFit="1" customWidth="1"/>
    <col min="406" max="406" width="3" bestFit="1" customWidth="1"/>
    <col min="407" max="414" width="4.85546875" bestFit="1" customWidth="1"/>
    <col min="415" max="415" width="3" bestFit="1" customWidth="1"/>
    <col min="416" max="424" width="4.85546875" bestFit="1" customWidth="1"/>
    <col min="425" max="425" width="3" bestFit="1" customWidth="1"/>
    <col min="426" max="434" width="4.85546875" bestFit="1" customWidth="1"/>
    <col min="435" max="435" width="3" bestFit="1" customWidth="1"/>
    <col min="436" max="443" width="4.85546875" bestFit="1" customWidth="1"/>
    <col min="444" max="444" width="3" bestFit="1" customWidth="1"/>
    <col min="445" max="453" width="4.85546875" bestFit="1" customWidth="1"/>
    <col min="454" max="454" width="3" bestFit="1" customWidth="1"/>
    <col min="455" max="463" width="4.85546875" bestFit="1" customWidth="1"/>
    <col min="464" max="464" width="3" bestFit="1" customWidth="1"/>
    <col min="465" max="472" width="4.85546875" bestFit="1" customWidth="1"/>
    <col min="473" max="473" width="3" bestFit="1" customWidth="1"/>
    <col min="474" max="481" width="4.85546875" bestFit="1" customWidth="1"/>
    <col min="482" max="482" width="3" bestFit="1" customWidth="1"/>
    <col min="483" max="490" width="4.85546875" bestFit="1" customWidth="1"/>
    <col min="491" max="491" width="3" bestFit="1" customWidth="1"/>
    <col min="492" max="498" width="4.85546875" bestFit="1" customWidth="1"/>
    <col min="499" max="499" width="3" bestFit="1" customWidth="1"/>
    <col min="500" max="507" width="4.85546875" bestFit="1" customWidth="1"/>
    <col min="508" max="508" width="3" bestFit="1" customWidth="1"/>
    <col min="509" max="524" width="4.85546875" bestFit="1" customWidth="1"/>
    <col min="525" max="525" width="3" bestFit="1" customWidth="1"/>
    <col min="526" max="541" width="4.85546875" bestFit="1" customWidth="1"/>
    <col min="542" max="542" width="3" bestFit="1" customWidth="1"/>
    <col min="543" max="551" width="4.85546875" bestFit="1" customWidth="1"/>
    <col min="552" max="552" width="3" bestFit="1" customWidth="1"/>
    <col min="553" max="559" width="4.85546875" bestFit="1" customWidth="1"/>
    <col min="560" max="560" width="3" bestFit="1" customWidth="1"/>
    <col min="561" max="577" width="4.85546875" bestFit="1" customWidth="1"/>
    <col min="578" max="578" width="3" bestFit="1" customWidth="1"/>
    <col min="579" max="585" width="4.85546875" bestFit="1" customWidth="1"/>
    <col min="586" max="586" width="3" bestFit="1" customWidth="1"/>
    <col min="587" max="591" width="4.85546875" bestFit="1" customWidth="1"/>
    <col min="592" max="592" width="3" bestFit="1" customWidth="1"/>
    <col min="593" max="599" width="4.85546875" bestFit="1" customWidth="1"/>
    <col min="600" max="600" width="3" bestFit="1" customWidth="1"/>
    <col min="601" max="606" width="4.85546875" bestFit="1" customWidth="1"/>
    <col min="607" max="607" width="3" bestFit="1" customWidth="1"/>
    <col min="608" max="627" width="4.85546875" bestFit="1" customWidth="1"/>
    <col min="628" max="628" width="3" bestFit="1" customWidth="1"/>
    <col min="629" max="632" width="4.85546875" bestFit="1" customWidth="1"/>
    <col min="633" max="633" width="3" bestFit="1" customWidth="1"/>
    <col min="634" max="642" width="4.85546875" bestFit="1" customWidth="1"/>
    <col min="643" max="643" width="3" bestFit="1" customWidth="1"/>
    <col min="644" max="662" width="4.85546875" bestFit="1" customWidth="1"/>
    <col min="663" max="663" width="3" bestFit="1" customWidth="1"/>
    <col min="664" max="672" width="4.85546875" bestFit="1" customWidth="1"/>
    <col min="673" max="673" width="3" bestFit="1" customWidth="1"/>
    <col min="674" max="682" width="4.85546875" bestFit="1" customWidth="1"/>
    <col min="683" max="683" width="3" bestFit="1" customWidth="1"/>
    <col min="684" max="693" width="4.85546875" bestFit="1" customWidth="1"/>
    <col min="694" max="694" width="3" bestFit="1" customWidth="1"/>
    <col min="695" max="699" width="4.85546875" bestFit="1" customWidth="1"/>
    <col min="700" max="700" width="3" bestFit="1" customWidth="1"/>
    <col min="701" max="712" width="4.85546875" bestFit="1" customWidth="1"/>
    <col min="713" max="713" width="3" bestFit="1" customWidth="1"/>
    <col min="714" max="725" width="4.85546875" bestFit="1" customWidth="1"/>
    <col min="726" max="726" width="3" bestFit="1" customWidth="1"/>
    <col min="727" max="732" width="4.85546875" bestFit="1" customWidth="1"/>
    <col min="733" max="733" width="3" bestFit="1" customWidth="1"/>
    <col min="734" max="739" width="4.85546875" bestFit="1" customWidth="1"/>
    <col min="740" max="740" width="3" bestFit="1" customWidth="1"/>
    <col min="741" max="743" width="4.85546875" bestFit="1" customWidth="1"/>
    <col min="744" max="744" width="3" bestFit="1" customWidth="1"/>
    <col min="745" max="751" width="4.85546875" bestFit="1" customWidth="1"/>
    <col min="752" max="752" width="3" bestFit="1" customWidth="1"/>
    <col min="753" max="757" width="4.85546875" bestFit="1" customWidth="1"/>
    <col min="758" max="758" width="4.140625" bestFit="1" customWidth="1"/>
    <col min="759" max="767" width="5.85546875" bestFit="1" customWidth="1"/>
    <col min="768" max="768" width="4.140625" bestFit="1" customWidth="1"/>
    <col min="769" max="772" width="5.85546875" bestFit="1" customWidth="1"/>
    <col min="773" max="773" width="4.140625" bestFit="1" customWidth="1"/>
    <col min="774" max="777" width="5.85546875" bestFit="1" customWidth="1"/>
    <col min="778" max="778" width="4.140625" bestFit="1" customWidth="1"/>
    <col min="779" max="784" width="5.85546875" bestFit="1" customWidth="1"/>
    <col min="785" max="785" width="4.140625" bestFit="1" customWidth="1"/>
    <col min="786" max="809" width="5.85546875" bestFit="1" customWidth="1"/>
    <col min="810" max="810" width="4.140625" bestFit="1" customWidth="1"/>
    <col min="811" max="816" width="5.85546875" bestFit="1" customWidth="1"/>
    <col min="817" max="817" width="4.140625" bestFit="1" customWidth="1"/>
    <col min="818" max="826" width="5.85546875" bestFit="1" customWidth="1"/>
    <col min="827" max="827" width="4.140625" bestFit="1" customWidth="1"/>
    <col min="828" max="839" width="5.85546875" bestFit="1" customWidth="1"/>
    <col min="840" max="840" width="4.140625" bestFit="1" customWidth="1"/>
    <col min="841" max="841" width="5.85546875" bestFit="1" customWidth="1"/>
    <col min="842" max="842" width="4.140625" bestFit="1" customWidth="1"/>
    <col min="843" max="869" width="5.85546875" bestFit="1" customWidth="1"/>
    <col min="870" max="870" width="4.140625" bestFit="1" customWidth="1"/>
    <col min="871" max="874" width="5.85546875" bestFit="1" customWidth="1"/>
    <col min="875" max="875" width="4.140625" bestFit="1" customWidth="1"/>
    <col min="876" max="879" width="5.85546875" bestFit="1" customWidth="1"/>
    <col min="880" max="880" width="4.140625" bestFit="1" customWidth="1"/>
    <col min="881" max="883" width="5.85546875" bestFit="1" customWidth="1"/>
    <col min="884" max="884" width="4.140625" bestFit="1" customWidth="1"/>
    <col min="885" max="895" width="5.85546875" bestFit="1" customWidth="1"/>
    <col min="896" max="896" width="4.140625" bestFit="1" customWidth="1"/>
    <col min="897" max="901" width="5.85546875" bestFit="1" customWidth="1"/>
    <col min="902" max="902" width="4.140625" bestFit="1" customWidth="1"/>
    <col min="903" max="905" width="5.85546875" bestFit="1" customWidth="1"/>
    <col min="906" max="906" width="4.140625" bestFit="1" customWidth="1"/>
    <col min="907" max="908" width="5.85546875" bestFit="1" customWidth="1"/>
    <col min="909" max="909" width="4.140625" bestFit="1" customWidth="1"/>
    <col min="910" max="918" width="5.85546875" bestFit="1" customWidth="1"/>
    <col min="919" max="919" width="4.140625" bestFit="1" customWidth="1"/>
    <col min="920" max="923" width="5.85546875" bestFit="1" customWidth="1"/>
    <col min="924" max="924" width="4.140625" bestFit="1" customWidth="1"/>
    <col min="925" max="929" width="5.85546875" bestFit="1" customWidth="1"/>
    <col min="930" max="930" width="4.140625" bestFit="1" customWidth="1"/>
    <col min="931" max="931" width="5.85546875" bestFit="1" customWidth="1"/>
    <col min="932" max="932" width="4.140625" bestFit="1" customWidth="1"/>
    <col min="933" max="933" width="5.85546875" bestFit="1" customWidth="1"/>
    <col min="934" max="934" width="4.140625" bestFit="1" customWidth="1"/>
    <col min="935" max="935" width="5.85546875" bestFit="1" customWidth="1"/>
    <col min="936" max="936" width="11.140625" bestFit="1" customWidth="1"/>
  </cols>
  <sheetData>
    <row r="2" spans="1:11">
      <c r="G2" s="13" t="s">
        <v>2503</v>
      </c>
    </row>
    <row r="3" spans="1:11">
      <c r="A3" t="s">
        <v>2504</v>
      </c>
      <c r="B3" t="s">
        <v>2505</v>
      </c>
      <c r="C3" t="s">
        <v>2506</v>
      </c>
      <c r="D3" t="s">
        <v>2507</v>
      </c>
      <c r="E3" t="s">
        <v>2508</v>
      </c>
      <c r="G3" t="s">
        <v>2509</v>
      </c>
      <c r="H3" t="s">
        <v>2510</v>
      </c>
      <c r="I3" t="s">
        <v>4</v>
      </c>
      <c r="J3" t="s">
        <v>2511</v>
      </c>
      <c r="K3" t="s">
        <v>2512</v>
      </c>
    </row>
    <row r="4" spans="1:11">
      <c r="A4" s="12">
        <v>2400</v>
      </c>
      <c r="B4" s="12">
        <v>11997</v>
      </c>
      <c r="C4" s="12">
        <v>649019.80000000144</v>
      </c>
      <c r="D4" s="12">
        <v>3.9620833333333332</v>
      </c>
      <c r="E4" s="12">
        <v>2.3424999999999998</v>
      </c>
      <c r="G4" t="str">
        <f>TEXT(A4,"#,##")</f>
        <v>2,400</v>
      </c>
      <c r="H4" t="str">
        <f t="shared" ref="H4:K4" si="0">TEXT(B4,"#,##")</f>
        <v>11,997</v>
      </c>
      <c r="I4" s="14" t="str">
        <f>TEXT(C4,"$#,##,.0k")</f>
        <v>$649.0k</v>
      </c>
      <c r="J4" s="12" t="str">
        <f>TEXT(D4,"0.0")</f>
        <v>4.0</v>
      </c>
      <c r="K4" t="str">
        <f>TEXT(E4,"0.0")</f>
        <v>2.3</v>
      </c>
    </row>
    <row r="7" spans="1:11">
      <c r="A7" s="19" t="s">
        <v>13</v>
      </c>
      <c r="B7" t="s">
        <v>2505</v>
      </c>
      <c r="C7" s="20" t="s">
        <v>2506</v>
      </c>
    </row>
    <row r="8" spans="1:11">
      <c r="A8">
        <v>1</v>
      </c>
      <c r="B8" s="12">
        <v>546</v>
      </c>
      <c r="C8" s="20">
        <v>32413.300000000003</v>
      </c>
    </row>
    <row r="9" spans="1:11">
      <c r="A9">
        <v>2</v>
      </c>
      <c r="B9" s="12">
        <v>905</v>
      </c>
      <c r="C9" s="20">
        <v>49562.999999999993</v>
      </c>
    </row>
    <row r="10" spans="1:11">
      <c r="A10">
        <v>3</v>
      </c>
      <c r="B10" s="12">
        <v>796</v>
      </c>
      <c r="C10" s="20">
        <v>41700.400000000016</v>
      </c>
    </row>
    <row r="11" spans="1:11">
      <c r="A11">
        <v>4</v>
      </c>
      <c r="B11" s="12">
        <v>913</v>
      </c>
      <c r="C11" s="20">
        <v>46782.599999999984</v>
      </c>
    </row>
    <row r="12" spans="1:11">
      <c r="A12">
        <v>5</v>
      </c>
      <c r="B12" s="12">
        <v>844</v>
      </c>
      <c r="C12" s="20">
        <v>42676.100000000006</v>
      </c>
    </row>
    <row r="13" spans="1:11">
      <c r="A13">
        <v>6</v>
      </c>
      <c r="B13" s="12">
        <v>1202</v>
      </c>
      <c r="C13" s="20">
        <v>62910.7</v>
      </c>
    </row>
    <row r="14" spans="1:11">
      <c r="A14">
        <v>7</v>
      </c>
      <c r="B14" s="12">
        <v>935</v>
      </c>
      <c r="C14" s="20">
        <v>50332.200000000004</v>
      </c>
    </row>
    <row r="15" spans="1:11">
      <c r="A15">
        <v>8</v>
      </c>
      <c r="B15" s="12">
        <v>1128</v>
      </c>
      <c r="C15" s="20">
        <v>58760.599999999977</v>
      </c>
    </row>
    <row r="16" spans="1:11">
      <c r="A16">
        <v>9</v>
      </c>
      <c r="B16" s="12">
        <v>1007</v>
      </c>
      <c r="C16" s="20">
        <v>52017.299999999996</v>
      </c>
    </row>
    <row r="17" spans="1:12">
      <c r="A17">
        <v>10</v>
      </c>
      <c r="B17" s="12">
        <v>1128</v>
      </c>
      <c r="C17" s="20">
        <v>64915.700000000033</v>
      </c>
    </row>
    <row r="18" spans="1:12">
      <c r="A18">
        <v>11</v>
      </c>
      <c r="B18" s="12">
        <v>861</v>
      </c>
      <c r="C18" s="20">
        <v>45943.80000000001</v>
      </c>
    </row>
    <row r="19" spans="1:12">
      <c r="A19">
        <v>12</v>
      </c>
      <c r="B19" s="12">
        <v>944</v>
      </c>
      <c r="C19" s="20">
        <v>55077.900000000031</v>
      </c>
    </row>
    <row r="20" spans="1:12">
      <c r="A20">
        <v>13</v>
      </c>
      <c r="B20" s="12">
        <v>788</v>
      </c>
      <c r="C20" s="20">
        <v>45926.19999999999</v>
      </c>
    </row>
    <row r="21" spans="1:12">
      <c r="A21" t="s">
        <v>2513</v>
      </c>
      <c r="B21" s="12">
        <v>11997</v>
      </c>
      <c r="C21" s="20">
        <v>649019.79999999993</v>
      </c>
    </row>
    <row r="24" spans="1:12">
      <c r="A24" s="19" t="s">
        <v>2506</v>
      </c>
      <c r="B24" s="19" t="s">
        <v>14</v>
      </c>
    </row>
    <row r="25" spans="1:12">
      <c r="A25" s="19" t="s">
        <v>8</v>
      </c>
      <c r="B25" t="s">
        <v>2514</v>
      </c>
      <c r="C25" t="s">
        <v>2515</v>
      </c>
      <c r="D25" t="s">
        <v>2516</v>
      </c>
      <c r="E25" t="s">
        <v>2517</v>
      </c>
      <c r="F25" t="s">
        <v>2513</v>
      </c>
      <c r="I25" t="str">
        <f>$B$25</f>
        <v>Female</v>
      </c>
      <c r="J25" t="str">
        <f>$C$25</f>
        <v>Male</v>
      </c>
      <c r="K25" t="str">
        <f>$D$25</f>
        <v>Other</v>
      </c>
      <c r="L25" t="str">
        <f>$E$25</f>
        <v>Unknown</v>
      </c>
    </row>
    <row r="26" spans="1:12">
      <c r="A26" t="s">
        <v>18</v>
      </c>
      <c r="B26" s="21">
        <v>0.18961825201634841</v>
      </c>
      <c r="C26" s="21">
        <v>0.12262322351336576</v>
      </c>
      <c r="D26" s="21">
        <v>1.060537752469185E-2</v>
      </c>
      <c r="E26" s="21">
        <v>3.0599220547662797E-2</v>
      </c>
      <c r="F26" s="21">
        <v>0.35344607360206881</v>
      </c>
      <c r="H26" t="str">
        <f>$A$26</f>
        <v>App</v>
      </c>
      <c r="I26" s="21">
        <f>$B$26</f>
        <v>0.18961825201634841</v>
      </c>
      <c r="J26" s="21">
        <f>$C$26</f>
        <v>0.12262322351336576</v>
      </c>
      <c r="K26" s="21">
        <f t="shared" ref="I26:L30" si="1">D26</f>
        <v>1.060537752469185E-2</v>
      </c>
      <c r="L26" s="21">
        <f t="shared" si="1"/>
        <v>3.0599220547662797E-2</v>
      </c>
    </row>
    <row r="27" spans="1:12">
      <c r="A27" t="s">
        <v>51</v>
      </c>
      <c r="B27" s="21">
        <v>5.0283982091147303E-2</v>
      </c>
      <c r="C27" s="21">
        <v>4.3060781812819873E-2</v>
      </c>
      <c r="D27" s="21">
        <v>1.5320025675641944E-3</v>
      </c>
      <c r="E27" s="21">
        <v>1.7794988689097006E-2</v>
      </c>
      <c r="F27" s="21">
        <v>0.11267175516062837</v>
      </c>
      <c r="H27" t="str">
        <f>$A$27</f>
        <v>Instagram</v>
      </c>
      <c r="I27" s="21">
        <f>$B$27</f>
        <v>5.0283982091147303E-2</v>
      </c>
      <c r="J27" s="21">
        <f>$C$27</f>
        <v>4.3060781812819873E-2</v>
      </c>
      <c r="K27" s="21">
        <f t="shared" si="1"/>
        <v>1.5320025675641944E-3</v>
      </c>
      <c r="L27" s="21">
        <f t="shared" si="1"/>
        <v>1.7794988689097006E-2</v>
      </c>
    </row>
    <row r="28" spans="1:12">
      <c r="A28" t="s">
        <v>70</v>
      </c>
      <c r="B28" s="21">
        <v>6.3496059750411282E-2</v>
      </c>
      <c r="C28" s="21">
        <v>4.6071629863988765E-2</v>
      </c>
      <c r="D28" s="21">
        <v>2.306247051322625E-3</v>
      </c>
      <c r="E28" s="21">
        <v>3.8927934093844286E-3</v>
      </c>
      <c r="F28" s="21">
        <v>0.11576673007510711</v>
      </c>
      <c r="H28" t="str">
        <f>$A$28</f>
        <v>Partner App</v>
      </c>
      <c r="I28" s="21">
        <f>$B$28</f>
        <v>6.3496059750411282E-2</v>
      </c>
      <c r="J28" s="21">
        <f>$C$28</f>
        <v>4.6071629863988765E-2</v>
      </c>
      <c r="K28" s="21">
        <f t="shared" si="1"/>
        <v>2.306247051322625E-3</v>
      </c>
      <c r="L28" s="21">
        <f t="shared" si="1"/>
        <v>3.8927934093844286E-3</v>
      </c>
    </row>
    <row r="29" spans="1:12">
      <c r="A29" t="s">
        <v>40</v>
      </c>
      <c r="B29" s="21">
        <v>9.6337892927149532E-2</v>
      </c>
      <c r="C29" s="21">
        <v>6.7920115842382611E-2</v>
      </c>
      <c r="D29" s="21">
        <v>5.4979832664581261E-3</v>
      </c>
      <c r="E29" s="21">
        <v>1.2933041488102518E-2</v>
      </c>
      <c r="F29" s="21">
        <v>0.1826890335240928</v>
      </c>
      <c r="H29" t="str">
        <f>$A$29</f>
        <v>Target.com</v>
      </c>
      <c r="I29" s="21">
        <f>$B$29</f>
        <v>9.6337892927149532E-2</v>
      </c>
      <c r="J29" s="21">
        <f>$C$29</f>
        <v>6.7920115842382611E-2</v>
      </c>
      <c r="K29" s="21">
        <f t="shared" si="1"/>
        <v>5.4979832664581261E-3</v>
      </c>
      <c r="L29" s="21">
        <f t="shared" si="1"/>
        <v>1.2933041488102518E-2</v>
      </c>
    </row>
    <row r="30" spans="1:12">
      <c r="A30" t="s">
        <v>35</v>
      </c>
      <c r="B30" s="21">
        <v>0.12522098709469262</v>
      </c>
      <c r="C30" s="21">
        <v>9.1492740283116228E-2</v>
      </c>
      <c r="D30" s="21">
        <v>6.3042760790965081E-3</v>
      </c>
      <c r="E30" s="21">
        <v>1.2408404181197551E-2</v>
      </c>
      <c r="F30" s="21">
        <v>0.23542640763810288</v>
      </c>
      <c r="H30" t="str">
        <f>$A$30</f>
        <v>Website</v>
      </c>
      <c r="I30" s="21">
        <f>$B$30</f>
        <v>0.12522098709469262</v>
      </c>
      <c r="J30" s="21">
        <f>$C$30</f>
        <v>9.1492740283116228E-2</v>
      </c>
      <c r="K30" s="21">
        <f t="shared" si="1"/>
        <v>6.3042760790965081E-3</v>
      </c>
      <c r="L30" s="21">
        <f t="shared" si="1"/>
        <v>1.2408404181197551E-2</v>
      </c>
    </row>
    <row r="31" spans="1:12">
      <c r="A31" t="s">
        <v>2513</v>
      </c>
      <c r="B31" s="21">
        <v>0.52495717387974916</v>
      </c>
      <c r="C31" s="21">
        <v>0.3711684913156732</v>
      </c>
      <c r="D31" s="21">
        <v>2.6245886489133303E-2</v>
      </c>
      <c r="E31" s="21">
        <v>7.7628448315444312E-2</v>
      </c>
      <c r="F31" s="21">
        <v>1</v>
      </c>
    </row>
    <row r="34" spans="1:5">
      <c r="A34" s="19" t="s">
        <v>2</v>
      </c>
      <c r="B34" t="s">
        <v>2504</v>
      </c>
      <c r="D34" s="13" t="s">
        <v>2</v>
      </c>
      <c r="E34" s="13" t="s">
        <v>2504</v>
      </c>
    </row>
    <row r="35" spans="1:5">
      <c r="A35">
        <v>1</v>
      </c>
      <c r="B35" s="12">
        <v>397</v>
      </c>
      <c r="D35">
        <f>A35</f>
        <v>1</v>
      </c>
      <c r="E35">
        <f>B35</f>
        <v>397</v>
      </c>
    </row>
    <row r="36" spans="1:5">
      <c r="A36">
        <v>2</v>
      </c>
      <c r="B36" s="12">
        <v>540</v>
      </c>
      <c r="D36">
        <f t="shared" ref="D36:D41" si="2">A36</f>
        <v>2</v>
      </c>
      <c r="E36">
        <f t="shared" ref="E36:E41" si="3">B36</f>
        <v>540</v>
      </c>
    </row>
    <row r="37" spans="1:5">
      <c r="A37">
        <v>3</v>
      </c>
      <c r="B37" s="12">
        <v>375</v>
      </c>
      <c r="D37">
        <f t="shared" si="2"/>
        <v>3</v>
      </c>
      <c r="E37">
        <f t="shared" si="3"/>
        <v>375</v>
      </c>
    </row>
    <row r="38" spans="1:5">
      <c r="A38">
        <v>4</v>
      </c>
      <c r="B38" s="12">
        <v>246</v>
      </c>
      <c r="D38">
        <f t="shared" si="2"/>
        <v>4</v>
      </c>
      <c r="E38">
        <f t="shared" si="3"/>
        <v>246</v>
      </c>
    </row>
    <row r="39" spans="1:5">
      <c r="A39">
        <v>5</v>
      </c>
      <c r="B39" s="12">
        <v>195</v>
      </c>
      <c r="D39">
        <f t="shared" si="2"/>
        <v>5</v>
      </c>
      <c r="E39">
        <f t="shared" si="3"/>
        <v>195</v>
      </c>
    </row>
    <row r="40" spans="1:5">
      <c r="A40">
        <v>6</v>
      </c>
      <c r="B40" s="12">
        <v>122</v>
      </c>
      <c r="D40">
        <f t="shared" si="2"/>
        <v>6</v>
      </c>
      <c r="E40">
        <f t="shared" si="3"/>
        <v>122</v>
      </c>
    </row>
    <row r="41" spans="1:5">
      <c r="A41">
        <v>7</v>
      </c>
      <c r="B41" s="12">
        <v>114</v>
      </c>
      <c r="D41">
        <f t="shared" si="2"/>
        <v>7</v>
      </c>
      <c r="E41">
        <f t="shared" si="3"/>
        <v>114</v>
      </c>
    </row>
    <row r="42" spans="1:5">
      <c r="A42">
        <v>8</v>
      </c>
      <c r="B42" s="12">
        <v>73</v>
      </c>
      <c r="D42" s="31" t="s">
        <v>2518</v>
      </c>
      <c r="E42">
        <f>SUM(B42:B49)</f>
        <v>303</v>
      </c>
    </row>
    <row r="43" spans="1:5">
      <c r="A43">
        <v>9</v>
      </c>
      <c r="B43" s="12">
        <v>52</v>
      </c>
      <c r="D43" t="s">
        <v>2519</v>
      </c>
      <c r="E43">
        <f>SUM(B49:B82)</f>
        <v>123</v>
      </c>
    </row>
    <row r="44" spans="1:5">
      <c r="A44">
        <v>10</v>
      </c>
      <c r="B44" s="12">
        <v>53</v>
      </c>
    </row>
    <row r="45" spans="1:5">
      <c r="A45">
        <v>11</v>
      </c>
      <c r="B45" s="12">
        <v>37</v>
      </c>
    </row>
    <row r="46" spans="1:5">
      <c r="A46">
        <v>12</v>
      </c>
      <c r="B46" s="12">
        <v>33</v>
      </c>
    </row>
    <row r="47" spans="1:5">
      <c r="A47">
        <v>13</v>
      </c>
      <c r="B47" s="12">
        <v>23</v>
      </c>
    </row>
    <row r="48" spans="1:5">
      <c r="A48">
        <v>14</v>
      </c>
      <c r="B48" s="12">
        <v>17</v>
      </c>
    </row>
    <row r="49" spans="1:2">
      <c r="A49">
        <v>15</v>
      </c>
      <c r="B49" s="12">
        <v>15</v>
      </c>
    </row>
    <row r="50" spans="1:2">
      <c r="A50">
        <v>16</v>
      </c>
      <c r="B50" s="12">
        <v>13</v>
      </c>
    </row>
    <row r="51" spans="1:2">
      <c r="A51">
        <v>17</v>
      </c>
      <c r="B51" s="12">
        <v>10</v>
      </c>
    </row>
    <row r="52" spans="1:2">
      <c r="A52">
        <v>18</v>
      </c>
      <c r="B52" s="12">
        <v>10</v>
      </c>
    </row>
    <row r="53" spans="1:2">
      <c r="A53">
        <v>19</v>
      </c>
      <c r="B53" s="12">
        <v>13</v>
      </c>
    </row>
    <row r="54" spans="1:2">
      <c r="A54">
        <v>20</v>
      </c>
      <c r="B54" s="12">
        <v>4</v>
      </c>
    </row>
    <row r="55" spans="1:2">
      <c r="A55">
        <v>21</v>
      </c>
      <c r="B55" s="12">
        <v>4</v>
      </c>
    </row>
    <row r="56" spans="1:2">
      <c r="A56">
        <v>22</v>
      </c>
      <c r="B56" s="12">
        <v>4</v>
      </c>
    </row>
    <row r="57" spans="1:2">
      <c r="A57">
        <v>23</v>
      </c>
      <c r="B57" s="12">
        <v>4</v>
      </c>
    </row>
    <row r="58" spans="1:2">
      <c r="A58">
        <v>24</v>
      </c>
      <c r="B58" s="12">
        <v>3</v>
      </c>
    </row>
    <row r="59" spans="1:2">
      <c r="A59">
        <v>25</v>
      </c>
      <c r="B59" s="12">
        <v>3</v>
      </c>
    </row>
    <row r="60" spans="1:2">
      <c r="A60">
        <v>26</v>
      </c>
      <c r="B60" s="12">
        <v>4</v>
      </c>
    </row>
    <row r="61" spans="1:2">
      <c r="A61">
        <v>27</v>
      </c>
      <c r="B61" s="12">
        <v>4</v>
      </c>
    </row>
    <row r="62" spans="1:2">
      <c r="A62">
        <v>28</v>
      </c>
      <c r="B62" s="12">
        <v>5</v>
      </c>
    </row>
    <row r="63" spans="1:2">
      <c r="A63">
        <v>29</v>
      </c>
      <c r="B63" s="12">
        <v>2</v>
      </c>
    </row>
    <row r="64" spans="1:2">
      <c r="A64">
        <v>30</v>
      </c>
      <c r="B64" s="12">
        <v>4</v>
      </c>
    </row>
    <row r="65" spans="1:2">
      <c r="A65">
        <v>31</v>
      </c>
      <c r="B65" s="12">
        <v>1</v>
      </c>
    </row>
    <row r="66" spans="1:2">
      <c r="A66">
        <v>32</v>
      </c>
      <c r="B66" s="12">
        <v>1</v>
      </c>
    </row>
    <row r="67" spans="1:2">
      <c r="A67">
        <v>33</v>
      </c>
      <c r="B67" s="12">
        <v>1</v>
      </c>
    </row>
    <row r="68" spans="1:2">
      <c r="A68">
        <v>34</v>
      </c>
      <c r="B68" s="12">
        <v>2</v>
      </c>
    </row>
    <row r="69" spans="1:2">
      <c r="A69">
        <v>35</v>
      </c>
      <c r="B69" s="12">
        <v>2</v>
      </c>
    </row>
    <row r="70" spans="1:2">
      <c r="A70">
        <v>36</v>
      </c>
      <c r="B70" s="12">
        <v>2</v>
      </c>
    </row>
    <row r="71" spans="1:2">
      <c r="A71">
        <v>38</v>
      </c>
      <c r="B71" s="12">
        <v>1</v>
      </c>
    </row>
    <row r="72" spans="1:2">
      <c r="A72">
        <v>40</v>
      </c>
      <c r="B72" s="12">
        <v>1</v>
      </c>
    </row>
    <row r="73" spans="1:2">
      <c r="A73">
        <v>41</v>
      </c>
      <c r="B73" s="12">
        <v>1</v>
      </c>
    </row>
    <row r="74" spans="1:2">
      <c r="A74">
        <v>42</v>
      </c>
      <c r="B74" s="12">
        <v>1</v>
      </c>
    </row>
    <row r="75" spans="1:2">
      <c r="A75">
        <v>43</v>
      </c>
      <c r="B75" s="12">
        <v>1</v>
      </c>
    </row>
    <row r="76" spans="1:2">
      <c r="A76">
        <v>45</v>
      </c>
      <c r="B76" s="12">
        <v>1</v>
      </c>
    </row>
    <row r="77" spans="1:2">
      <c r="A77">
        <v>47</v>
      </c>
      <c r="B77" s="12">
        <v>1</v>
      </c>
    </row>
    <row r="78" spans="1:2">
      <c r="A78">
        <v>49</v>
      </c>
      <c r="B78" s="12">
        <v>1</v>
      </c>
    </row>
    <row r="79" spans="1:2">
      <c r="A79">
        <v>62</v>
      </c>
      <c r="B79" s="12">
        <v>1</v>
      </c>
    </row>
    <row r="80" spans="1:2">
      <c r="A80">
        <v>63</v>
      </c>
      <c r="B80" s="12">
        <v>1</v>
      </c>
    </row>
    <row r="81" spans="1:12">
      <c r="A81">
        <v>70</v>
      </c>
      <c r="B81" s="12">
        <v>1</v>
      </c>
    </row>
    <row r="82" spans="1:12">
      <c r="A82">
        <v>87</v>
      </c>
      <c r="B82" s="12">
        <v>1</v>
      </c>
    </row>
    <row r="83" spans="1:12">
      <c r="A83" t="s">
        <v>2513</v>
      </c>
      <c r="B83" s="12">
        <v>2400</v>
      </c>
    </row>
    <row r="86" spans="1:12">
      <c r="A86" s="19" t="s">
        <v>2505</v>
      </c>
      <c r="B86" s="19" t="s">
        <v>7</v>
      </c>
      <c r="K86" s="19" t="s">
        <v>14</v>
      </c>
      <c r="L86" t="s">
        <v>2505</v>
      </c>
    </row>
    <row r="87" spans="1:12">
      <c r="A87" s="19" t="s">
        <v>1</v>
      </c>
      <c r="B87" t="s">
        <v>27</v>
      </c>
      <c r="C87" t="s">
        <v>23</v>
      </c>
      <c r="D87" t="s">
        <v>89</v>
      </c>
      <c r="E87" t="s">
        <v>2513</v>
      </c>
      <c r="K87" t="s">
        <v>2514</v>
      </c>
      <c r="L87" s="12">
        <v>6272</v>
      </c>
    </row>
    <row r="88" spans="1:12">
      <c r="A88" t="s">
        <v>44</v>
      </c>
      <c r="B88" s="12">
        <v>744</v>
      </c>
      <c r="C88" s="12">
        <v>713</v>
      </c>
      <c r="D88" s="12">
        <v>90</v>
      </c>
      <c r="E88" s="12">
        <v>1547</v>
      </c>
      <c r="K88" t="s">
        <v>2515</v>
      </c>
      <c r="L88" s="12">
        <v>4672</v>
      </c>
    </row>
    <row r="89" spans="1:12">
      <c r="A89" t="s">
        <v>39</v>
      </c>
      <c r="B89" s="12">
        <v>716</v>
      </c>
      <c r="C89" s="12">
        <v>598</v>
      </c>
      <c r="D89" s="12">
        <v>18</v>
      </c>
      <c r="E89" s="12">
        <v>1332</v>
      </c>
      <c r="K89" t="s">
        <v>2516</v>
      </c>
      <c r="L89" s="12">
        <v>317</v>
      </c>
    </row>
    <row r="90" spans="1:12">
      <c r="A90" t="s">
        <v>26</v>
      </c>
      <c r="B90" s="12">
        <v>627</v>
      </c>
      <c r="C90" s="12">
        <v>393</v>
      </c>
      <c r="D90" s="12">
        <v>29</v>
      </c>
      <c r="E90" s="12">
        <v>1049</v>
      </c>
      <c r="K90" t="s">
        <v>2517</v>
      </c>
      <c r="L90" s="12">
        <v>736</v>
      </c>
    </row>
    <row r="91" spans="1:12">
      <c r="A91" t="s">
        <v>22</v>
      </c>
      <c r="B91" s="12">
        <v>568</v>
      </c>
      <c r="C91" s="12">
        <v>306</v>
      </c>
      <c r="D91" s="12">
        <v>22</v>
      </c>
      <c r="E91" s="12">
        <v>896</v>
      </c>
      <c r="K91" t="s">
        <v>2513</v>
      </c>
      <c r="L91" s="12">
        <v>11997</v>
      </c>
    </row>
    <row r="92" spans="1:12">
      <c r="A92" t="s">
        <v>54</v>
      </c>
      <c r="B92" s="12">
        <v>482</v>
      </c>
      <c r="C92" s="12">
        <v>295</v>
      </c>
      <c r="D92" s="12">
        <v>8</v>
      </c>
      <c r="E92" s="12">
        <v>785</v>
      </c>
    </row>
    <row r="93" spans="1:12">
      <c r="A93" t="s">
        <v>16</v>
      </c>
      <c r="B93" s="12">
        <v>428</v>
      </c>
      <c r="C93" s="12">
        <v>293</v>
      </c>
      <c r="D93" s="12"/>
      <c r="E93" s="12">
        <v>721</v>
      </c>
    </row>
    <row r="94" spans="1:12">
      <c r="A94" t="s">
        <v>46</v>
      </c>
      <c r="B94" s="12">
        <v>445</v>
      </c>
      <c r="C94" s="12">
        <v>202</v>
      </c>
      <c r="D94" s="12">
        <v>14</v>
      </c>
      <c r="E94" s="12">
        <v>661</v>
      </c>
    </row>
    <row r="95" spans="1:12">
      <c r="A95" t="s">
        <v>32</v>
      </c>
      <c r="B95" s="12">
        <v>431</v>
      </c>
      <c r="C95" s="12">
        <v>187</v>
      </c>
      <c r="D95" s="12">
        <v>14</v>
      </c>
      <c r="E95" s="12">
        <v>632</v>
      </c>
    </row>
    <row r="96" spans="1:12">
      <c r="A96" t="s">
        <v>42</v>
      </c>
      <c r="B96" s="12">
        <v>264</v>
      </c>
      <c r="C96" s="12">
        <v>318</v>
      </c>
      <c r="D96" s="12">
        <v>15</v>
      </c>
      <c r="E96" s="12">
        <v>597</v>
      </c>
    </row>
    <row r="97" spans="1:12">
      <c r="A97" t="s">
        <v>37</v>
      </c>
      <c r="B97" s="12">
        <v>296</v>
      </c>
      <c r="C97" s="12">
        <v>275</v>
      </c>
      <c r="D97" s="12">
        <v>9</v>
      </c>
      <c r="E97" s="12">
        <v>580</v>
      </c>
    </row>
    <row r="98" spans="1:12">
      <c r="A98" t="s">
        <v>123</v>
      </c>
      <c r="B98" s="12">
        <v>153</v>
      </c>
      <c r="C98" s="12">
        <v>246</v>
      </c>
      <c r="D98" s="12">
        <v>30</v>
      </c>
      <c r="E98" s="12">
        <v>429</v>
      </c>
    </row>
    <row r="99" spans="1:12">
      <c r="A99" t="s">
        <v>146</v>
      </c>
      <c r="B99" s="12">
        <v>189</v>
      </c>
      <c r="C99" s="12">
        <v>168</v>
      </c>
      <c r="D99" s="12">
        <v>10</v>
      </c>
      <c r="E99" s="12">
        <v>367</v>
      </c>
    </row>
    <row r="100" spans="1:12">
      <c r="A100" t="s">
        <v>69</v>
      </c>
      <c r="B100" s="12">
        <v>234</v>
      </c>
      <c r="C100" s="12">
        <v>93</v>
      </c>
      <c r="D100" s="12">
        <v>19</v>
      </c>
      <c r="E100" s="12">
        <v>346</v>
      </c>
    </row>
    <row r="101" spans="1:12">
      <c r="A101" t="s">
        <v>135</v>
      </c>
      <c r="B101" s="12">
        <v>127</v>
      </c>
      <c r="C101" s="12">
        <v>118</v>
      </c>
      <c r="D101" s="12">
        <v>13</v>
      </c>
      <c r="E101" s="12">
        <v>258</v>
      </c>
    </row>
    <row r="102" spans="1:12">
      <c r="A102" t="s">
        <v>67</v>
      </c>
      <c r="B102" s="12">
        <v>179</v>
      </c>
      <c r="C102" s="12">
        <v>76</v>
      </c>
      <c r="D102" s="12">
        <v>3</v>
      </c>
      <c r="E102" s="12">
        <v>258</v>
      </c>
    </row>
    <row r="103" spans="1:12">
      <c r="A103" t="s">
        <v>30</v>
      </c>
      <c r="B103" s="12">
        <v>146</v>
      </c>
      <c r="C103" s="12">
        <v>94</v>
      </c>
      <c r="D103" s="12">
        <v>4</v>
      </c>
      <c r="E103" s="12">
        <v>244</v>
      </c>
    </row>
    <row r="104" spans="1:12">
      <c r="A104" t="s">
        <v>76</v>
      </c>
      <c r="B104" s="12">
        <v>75</v>
      </c>
      <c r="C104" s="12">
        <v>103</v>
      </c>
      <c r="D104" s="12">
        <v>4</v>
      </c>
      <c r="E104" s="12">
        <v>182</v>
      </c>
    </row>
    <row r="105" spans="1:12">
      <c r="A105" t="s">
        <v>128</v>
      </c>
      <c r="B105" s="12">
        <v>99</v>
      </c>
      <c r="C105" s="12">
        <v>69</v>
      </c>
      <c r="D105" s="12">
        <v>3</v>
      </c>
      <c r="E105" s="12">
        <v>171</v>
      </c>
    </row>
    <row r="106" spans="1:12">
      <c r="A106" t="s">
        <v>81</v>
      </c>
      <c r="B106" s="12">
        <v>43</v>
      </c>
      <c r="C106" s="12">
        <v>90</v>
      </c>
      <c r="D106" s="12">
        <v>8</v>
      </c>
      <c r="E106" s="12">
        <v>141</v>
      </c>
    </row>
    <row r="107" spans="1:12">
      <c r="A107" t="s">
        <v>171</v>
      </c>
      <c r="B107" s="12">
        <v>26</v>
      </c>
      <c r="C107" s="12">
        <v>35</v>
      </c>
      <c r="D107" s="12">
        <v>4</v>
      </c>
      <c r="E107" s="12">
        <v>65</v>
      </c>
    </row>
    <row r="108" spans="1:12">
      <c r="A108" t="s">
        <v>2513</v>
      </c>
      <c r="B108" s="12">
        <v>6272</v>
      </c>
      <c r="C108" s="12">
        <v>4672</v>
      </c>
      <c r="D108" s="12">
        <v>317</v>
      </c>
      <c r="E108" s="12">
        <v>11261</v>
      </c>
    </row>
    <row r="111" spans="1:12">
      <c r="J111" t="s">
        <v>2520</v>
      </c>
    </row>
    <row r="112" spans="1:12">
      <c r="A112" s="19" t="s">
        <v>10</v>
      </c>
      <c r="B112" s="19" t="s">
        <v>11</v>
      </c>
      <c r="C112" t="s">
        <v>2505</v>
      </c>
      <c r="D112" t="s">
        <v>2506</v>
      </c>
      <c r="F112" s="13" t="s">
        <v>10</v>
      </c>
      <c r="G112" s="13" t="s">
        <v>2521</v>
      </c>
      <c r="H112" s="13" t="s">
        <v>2506</v>
      </c>
      <c r="J112" s="13" t="s">
        <v>10</v>
      </c>
      <c r="K112" s="13" t="s">
        <v>2521</v>
      </c>
      <c r="L112" s="13" t="s">
        <v>2506</v>
      </c>
    </row>
    <row r="113" spans="1:12">
      <c r="A113" t="s">
        <v>19</v>
      </c>
      <c r="B113" t="s">
        <v>115</v>
      </c>
      <c r="C113" s="12">
        <v>579</v>
      </c>
      <c r="D113" s="12">
        <v>31884.999999999996</v>
      </c>
      <c r="F113" t="s">
        <v>2522</v>
      </c>
      <c r="G113" t="s">
        <v>33</v>
      </c>
      <c r="H113" s="12">
        <v>215551.19999999981</v>
      </c>
      <c r="J113" t="s">
        <v>2522</v>
      </c>
      <c r="K113" t="s">
        <v>33</v>
      </c>
      <c r="L113" s="12">
        <v>215551.19999999981</v>
      </c>
    </row>
    <row r="114" spans="1:12">
      <c r="B114" t="s">
        <v>20</v>
      </c>
      <c r="C114" s="12">
        <v>1</v>
      </c>
      <c r="D114" s="12">
        <v>10.9</v>
      </c>
      <c r="F114" t="s">
        <v>2522</v>
      </c>
      <c r="G114" t="s">
        <v>62</v>
      </c>
      <c r="H114" s="12">
        <v>98367.099999999977</v>
      </c>
      <c r="J114" t="s">
        <v>2522</v>
      </c>
      <c r="K114" t="s">
        <v>62</v>
      </c>
      <c r="L114" s="12">
        <v>98367.099999999977</v>
      </c>
    </row>
    <row r="115" spans="1:12">
      <c r="B115" t="s">
        <v>641</v>
      </c>
      <c r="C115" s="12">
        <v>9</v>
      </c>
      <c r="D115" s="12">
        <v>800.3</v>
      </c>
      <c r="F115" t="s">
        <v>2522</v>
      </c>
      <c r="G115" t="s">
        <v>55</v>
      </c>
      <c r="H115" s="12">
        <v>37784.900000000016</v>
      </c>
      <c r="J115" t="s">
        <v>2522</v>
      </c>
      <c r="K115" t="s">
        <v>55</v>
      </c>
      <c r="L115" s="12">
        <v>37784.900000000016</v>
      </c>
    </row>
    <row r="116" spans="1:12">
      <c r="B116" t="s">
        <v>967</v>
      </c>
      <c r="C116" s="12">
        <v>35</v>
      </c>
      <c r="D116" s="12">
        <v>1062.5999999999999</v>
      </c>
      <c r="F116" t="s">
        <v>2522</v>
      </c>
      <c r="G116" t="s">
        <v>77</v>
      </c>
      <c r="H116" s="12">
        <v>37449.000000000007</v>
      </c>
      <c r="J116" t="s">
        <v>2522</v>
      </c>
      <c r="K116" t="s">
        <v>77</v>
      </c>
      <c r="L116" s="12">
        <v>37449.000000000007</v>
      </c>
    </row>
    <row r="117" spans="1:12">
      <c r="B117" t="s">
        <v>84</v>
      </c>
      <c r="C117" s="12">
        <v>12</v>
      </c>
      <c r="D117" s="12">
        <v>326.20000000000005</v>
      </c>
      <c r="F117" t="s">
        <v>2522</v>
      </c>
      <c r="G117" t="s">
        <v>115</v>
      </c>
      <c r="H117" s="12">
        <v>31884.999999999996</v>
      </c>
      <c r="J117" t="s">
        <v>2522</v>
      </c>
      <c r="K117" t="s">
        <v>115</v>
      </c>
      <c r="L117" s="12">
        <v>31884.999999999996</v>
      </c>
    </row>
    <row r="118" spans="1:12">
      <c r="B118" t="s">
        <v>1383</v>
      </c>
      <c r="C118" s="12">
        <v>4</v>
      </c>
      <c r="D118" s="12">
        <v>167.5</v>
      </c>
      <c r="F118" t="s">
        <v>2522</v>
      </c>
      <c r="G118" t="s">
        <v>103</v>
      </c>
      <c r="H118" s="12">
        <v>21911.9</v>
      </c>
      <c r="J118" t="s">
        <v>2522</v>
      </c>
      <c r="K118" t="s">
        <v>103</v>
      </c>
      <c r="L118" s="12">
        <v>21911.9</v>
      </c>
    </row>
    <row r="119" spans="1:12">
      <c r="B119" t="s">
        <v>24</v>
      </c>
      <c r="C119" s="12">
        <v>341</v>
      </c>
      <c r="D119" s="12">
        <v>16168.7</v>
      </c>
      <c r="F119" t="s">
        <v>2522</v>
      </c>
      <c r="G119" t="s">
        <v>59</v>
      </c>
      <c r="H119" s="12">
        <v>20988.9</v>
      </c>
      <c r="J119" t="s">
        <v>2522</v>
      </c>
      <c r="K119" t="s">
        <v>59</v>
      </c>
      <c r="L119" s="12">
        <v>20988.9</v>
      </c>
    </row>
    <row r="120" spans="1:12">
      <c r="B120" t="s">
        <v>2204</v>
      </c>
      <c r="C120" s="12">
        <v>13</v>
      </c>
      <c r="D120" s="12">
        <v>322.40000000000003</v>
      </c>
      <c r="F120" t="s">
        <v>2522</v>
      </c>
      <c r="G120" t="s">
        <v>108</v>
      </c>
      <c r="H120" s="12">
        <v>20939.600000000002</v>
      </c>
      <c r="J120" t="s">
        <v>2522</v>
      </c>
      <c r="K120" t="s">
        <v>108</v>
      </c>
      <c r="L120" s="12">
        <v>20939.600000000002</v>
      </c>
    </row>
    <row r="121" spans="1:12">
      <c r="B121" t="s">
        <v>437</v>
      </c>
      <c r="C121" s="12">
        <v>31</v>
      </c>
      <c r="D121" s="12">
        <v>2092.8000000000002</v>
      </c>
      <c r="F121" t="s">
        <v>2522</v>
      </c>
      <c r="G121" t="s">
        <v>72</v>
      </c>
      <c r="H121" s="12">
        <v>16172.000000000005</v>
      </c>
      <c r="J121" t="s">
        <v>2522</v>
      </c>
      <c r="K121" t="s">
        <v>72</v>
      </c>
      <c r="L121" s="12">
        <v>16172.000000000005</v>
      </c>
    </row>
    <row r="122" spans="1:12">
      <c r="B122" t="s">
        <v>28</v>
      </c>
      <c r="C122" s="12">
        <v>279</v>
      </c>
      <c r="D122" s="12">
        <v>12662.500000000002</v>
      </c>
      <c r="F122" t="s">
        <v>2522</v>
      </c>
      <c r="G122" t="s">
        <v>24</v>
      </c>
      <c r="H122" s="12">
        <v>16168.7</v>
      </c>
      <c r="J122" t="s">
        <v>2522</v>
      </c>
      <c r="K122" t="s">
        <v>24</v>
      </c>
      <c r="L122" s="12">
        <v>16168.7</v>
      </c>
    </row>
    <row r="123" spans="1:12">
      <c r="B123" t="s">
        <v>208</v>
      </c>
      <c r="C123" s="12">
        <v>9</v>
      </c>
      <c r="D123" s="12">
        <v>343.2</v>
      </c>
      <c r="F123" t="s">
        <v>2522</v>
      </c>
      <c r="G123" t="s">
        <v>28</v>
      </c>
      <c r="H123" s="12">
        <v>12662.500000000002</v>
      </c>
    </row>
    <row r="124" spans="1:12">
      <c r="B124" t="s">
        <v>587</v>
      </c>
      <c r="C124" s="12">
        <v>49</v>
      </c>
      <c r="D124" s="12">
        <v>2188.2999999999997</v>
      </c>
      <c r="F124" t="s">
        <v>2522</v>
      </c>
      <c r="G124" t="s">
        <v>147</v>
      </c>
      <c r="H124" s="12">
        <v>11354.199999999993</v>
      </c>
    </row>
    <row r="125" spans="1:12">
      <c r="B125" t="s">
        <v>331</v>
      </c>
      <c r="C125" s="12">
        <v>59</v>
      </c>
      <c r="D125" s="12">
        <v>2661.5999999999995</v>
      </c>
      <c r="F125" t="s">
        <v>2522</v>
      </c>
      <c r="G125" t="s">
        <v>110</v>
      </c>
      <c r="H125" s="12">
        <v>10185.899999999996</v>
      </c>
    </row>
    <row r="126" spans="1:12">
      <c r="B126" t="s">
        <v>86</v>
      </c>
      <c r="C126" s="12">
        <v>8</v>
      </c>
      <c r="D126" s="12">
        <v>887.5</v>
      </c>
      <c r="F126" t="s">
        <v>2522</v>
      </c>
      <c r="G126" t="s">
        <v>82</v>
      </c>
      <c r="H126" s="12">
        <v>9869.0999999999985</v>
      </c>
    </row>
    <row r="127" spans="1:12">
      <c r="B127" t="s">
        <v>147</v>
      </c>
      <c r="C127" s="12">
        <v>222</v>
      </c>
      <c r="D127" s="12">
        <v>11354.199999999993</v>
      </c>
      <c r="F127" t="s">
        <v>2522</v>
      </c>
      <c r="G127" t="s">
        <v>188</v>
      </c>
      <c r="H127" s="12">
        <v>9680.399999999996</v>
      </c>
    </row>
    <row r="128" spans="1:12">
      <c r="B128" t="s">
        <v>334</v>
      </c>
      <c r="C128" s="12">
        <v>36</v>
      </c>
      <c r="D128" s="12">
        <v>1558.4</v>
      </c>
      <c r="F128" t="s">
        <v>2522</v>
      </c>
      <c r="G128" t="s">
        <v>52</v>
      </c>
      <c r="H128" s="12">
        <v>9414.7999999999993</v>
      </c>
    </row>
    <row r="129" spans="2:8">
      <c r="B129" t="s">
        <v>949</v>
      </c>
      <c r="C129" s="12">
        <v>30</v>
      </c>
      <c r="D129" s="12">
        <v>2223.9</v>
      </c>
      <c r="F129" t="s">
        <v>2522</v>
      </c>
      <c r="G129" t="s">
        <v>158</v>
      </c>
      <c r="H129" s="12">
        <v>7691.3</v>
      </c>
    </row>
    <row r="130" spans="2:8">
      <c r="B130" t="s">
        <v>1426</v>
      </c>
      <c r="C130" s="12">
        <v>1</v>
      </c>
      <c r="D130" s="12">
        <v>26.2</v>
      </c>
      <c r="F130" t="s">
        <v>2522</v>
      </c>
      <c r="G130" t="s">
        <v>98</v>
      </c>
      <c r="H130" s="12">
        <v>6444.9</v>
      </c>
    </row>
    <row r="131" spans="2:8">
      <c r="B131" t="s">
        <v>33</v>
      </c>
      <c r="C131" s="12">
        <v>3991</v>
      </c>
      <c r="D131" s="12">
        <v>215551.19999999981</v>
      </c>
      <c r="F131" t="s">
        <v>2522</v>
      </c>
      <c r="G131" t="s">
        <v>201</v>
      </c>
      <c r="H131" s="12">
        <v>5441.2</v>
      </c>
    </row>
    <row r="132" spans="2:8">
      <c r="B132" t="s">
        <v>364</v>
      </c>
      <c r="C132" s="12">
        <v>45</v>
      </c>
      <c r="D132" s="12">
        <v>2687.3999999999996</v>
      </c>
      <c r="F132" t="s">
        <v>2522</v>
      </c>
      <c r="G132" t="s">
        <v>74</v>
      </c>
      <c r="H132" s="12">
        <v>4334.9999999999991</v>
      </c>
    </row>
    <row r="133" spans="2:8">
      <c r="B133" t="s">
        <v>545</v>
      </c>
      <c r="C133" s="12">
        <v>39</v>
      </c>
      <c r="D133" s="12">
        <v>1463.3000000000002</v>
      </c>
      <c r="F133" t="s">
        <v>2522</v>
      </c>
      <c r="G133" t="s">
        <v>113</v>
      </c>
      <c r="H133" s="12">
        <v>3978.5</v>
      </c>
    </row>
    <row r="134" spans="2:8">
      <c r="B134" t="s">
        <v>416</v>
      </c>
      <c r="C134" s="12">
        <v>6</v>
      </c>
      <c r="D134" s="12">
        <v>445.79999999999995</v>
      </c>
      <c r="F134" t="s">
        <v>2522</v>
      </c>
      <c r="G134" t="s">
        <v>1116</v>
      </c>
      <c r="H134" s="12">
        <v>3391.1</v>
      </c>
    </row>
    <row r="135" spans="2:8">
      <c r="B135" t="s">
        <v>258</v>
      </c>
      <c r="C135" s="12">
        <v>9</v>
      </c>
      <c r="D135" s="12">
        <v>273.59999999999997</v>
      </c>
      <c r="F135" t="s">
        <v>2522</v>
      </c>
      <c r="G135" t="s">
        <v>377</v>
      </c>
      <c r="H135" s="12">
        <v>3175.9999999999995</v>
      </c>
    </row>
    <row r="136" spans="2:8">
      <c r="B136" t="s">
        <v>186</v>
      </c>
      <c r="C136" s="12">
        <v>60</v>
      </c>
      <c r="D136" s="12">
        <v>2690.4</v>
      </c>
      <c r="F136" t="s">
        <v>2522</v>
      </c>
      <c r="G136" t="s">
        <v>186</v>
      </c>
      <c r="H136" s="12">
        <v>2690.4</v>
      </c>
    </row>
    <row r="137" spans="2:8">
      <c r="B137" t="s">
        <v>392</v>
      </c>
      <c r="C137" s="12">
        <v>2</v>
      </c>
      <c r="D137" s="12">
        <v>28.4</v>
      </c>
      <c r="F137" t="s">
        <v>2522</v>
      </c>
      <c r="G137" t="s">
        <v>364</v>
      </c>
      <c r="H137" s="12">
        <v>2687.3999999999996</v>
      </c>
    </row>
    <row r="138" spans="2:8">
      <c r="B138" t="s">
        <v>670</v>
      </c>
      <c r="C138" s="12">
        <v>4</v>
      </c>
      <c r="D138" s="12">
        <v>204.8</v>
      </c>
      <c r="F138" t="s">
        <v>2522</v>
      </c>
      <c r="G138" t="s">
        <v>331</v>
      </c>
      <c r="H138" s="12">
        <v>2661.5999999999995</v>
      </c>
    </row>
    <row r="139" spans="2:8">
      <c r="B139" t="s">
        <v>802</v>
      </c>
      <c r="C139" s="12">
        <v>31</v>
      </c>
      <c r="D139" s="12">
        <v>1607.8999999999999</v>
      </c>
      <c r="F139" t="s">
        <v>2522</v>
      </c>
      <c r="G139" t="s">
        <v>309</v>
      </c>
      <c r="H139" s="12">
        <v>2447.5</v>
      </c>
    </row>
    <row r="140" spans="2:8">
      <c r="B140" t="s">
        <v>98</v>
      </c>
      <c r="C140" s="12">
        <v>88</v>
      </c>
      <c r="D140" s="12">
        <v>6444.9</v>
      </c>
      <c r="F140" t="s">
        <v>2522</v>
      </c>
      <c r="G140" t="s">
        <v>949</v>
      </c>
      <c r="H140" s="12">
        <v>2223.9</v>
      </c>
    </row>
    <row r="141" spans="2:8">
      <c r="B141" t="s">
        <v>49</v>
      </c>
      <c r="C141" s="12">
        <v>25</v>
      </c>
      <c r="D141" s="12">
        <v>1809.3</v>
      </c>
      <c r="F141" t="s">
        <v>2522</v>
      </c>
      <c r="G141" t="s">
        <v>587</v>
      </c>
      <c r="H141" s="12">
        <v>2188.2999999999997</v>
      </c>
    </row>
    <row r="142" spans="2:8">
      <c r="B142" t="s">
        <v>188</v>
      </c>
      <c r="C142" s="12">
        <v>178</v>
      </c>
      <c r="D142" s="12">
        <v>9680.399999999996</v>
      </c>
      <c r="F142" t="s">
        <v>2522</v>
      </c>
      <c r="G142" t="s">
        <v>437</v>
      </c>
      <c r="H142" s="12">
        <v>2092.8000000000002</v>
      </c>
    </row>
    <row r="143" spans="2:8">
      <c r="B143" t="s">
        <v>52</v>
      </c>
      <c r="C143" s="12">
        <v>141</v>
      </c>
      <c r="D143" s="12">
        <v>9414.7999999999993</v>
      </c>
      <c r="F143" t="s">
        <v>2522</v>
      </c>
      <c r="G143" t="s">
        <v>49</v>
      </c>
      <c r="H143" s="12">
        <v>1809.3</v>
      </c>
    </row>
    <row r="144" spans="2:8">
      <c r="B144" t="s">
        <v>338</v>
      </c>
      <c r="C144" s="12">
        <v>6</v>
      </c>
      <c r="D144" s="12">
        <v>206.1</v>
      </c>
      <c r="F144" t="s">
        <v>2522</v>
      </c>
      <c r="G144" t="s">
        <v>802</v>
      </c>
      <c r="H144" s="12">
        <v>1607.8999999999999</v>
      </c>
    </row>
    <row r="145" spans="2:8">
      <c r="B145" t="s">
        <v>158</v>
      </c>
      <c r="C145" s="12">
        <v>178</v>
      </c>
      <c r="D145" s="12">
        <v>7691.3</v>
      </c>
      <c r="F145" t="s">
        <v>2522</v>
      </c>
      <c r="G145" t="s">
        <v>334</v>
      </c>
      <c r="H145" s="12">
        <v>1558.4</v>
      </c>
    </row>
    <row r="146" spans="2:8">
      <c r="B146" t="s">
        <v>55</v>
      </c>
      <c r="C146" s="12">
        <v>699</v>
      </c>
      <c r="D146" s="12">
        <v>37784.900000000016</v>
      </c>
      <c r="F146" t="s">
        <v>2522</v>
      </c>
      <c r="G146" t="s">
        <v>545</v>
      </c>
      <c r="H146" s="12">
        <v>1463.3000000000002</v>
      </c>
    </row>
    <row r="147" spans="2:8">
      <c r="B147" t="s">
        <v>342</v>
      </c>
      <c r="C147" s="12">
        <v>23</v>
      </c>
      <c r="D147" s="12">
        <v>1129.7</v>
      </c>
      <c r="F147" t="s">
        <v>2522</v>
      </c>
      <c r="G147" t="s">
        <v>997</v>
      </c>
      <c r="H147" s="12">
        <v>1405</v>
      </c>
    </row>
    <row r="148" spans="2:8">
      <c r="B148" t="s">
        <v>59</v>
      </c>
      <c r="C148" s="12">
        <v>356</v>
      </c>
      <c r="D148" s="12">
        <v>20988.9</v>
      </c>
      <c r="F148" t="s">
        <v>2522</v>
      </c>
      <c r="G148" t="s">
        <v>342</v>
      </c>
      <c r="H148" s="12">
        <v>1129.7</v>
      </c>
    </row>
    <row r="149" spans="2:8">
      <c r="B149" t="s">
        <v>62</v>
      </c>
      <c r="C149" s="12">
        <v>1768</v>
      </c>
      <c r="D149" s="12">
        <v>98367.099999999977</v>
      </c>
      <c r="F149" t="s">
        <v>2522</v>
      </c>
      <c r="G149" t="s">
        <v>967</v>
      </c>
      <c r="H149" s="12">
        <v>1062.5999999999999</v>
      </c>
    </row>
    <row r="150" spans="2:8">
      <c r="B150" t="s">
        <v>103</v>
      </c>
      <c r="C150" s="12">
        <v>307</v>
      </c>
      <c r="D150" s="12">
        <v>21911.9</v>
      </c>
      <c r="F150" t="s">
        <v>2522</v>
      </c>
      <c r="G150" t="s">
        <v>292</v>
      </c>
      <c r="H150" s="12">
        <v>958.7</v>
      </c>
    </row>
    <row r="151" spans="2:8">
      <c r="B151" t="s">
        <v>201</v>
      </c>
      <c r="C151" s="12">
        <v>117</v>
      </c>
      <c r="D151" s="12">
        <v>5441.2</v>
      </c>
      <c r="F151" t="s">
        <v>2522</v>
      </c>
      <c r="G151" t="s">
        <v>86</v>
      </c>
      <c r="H151" s="12">
        <v>887.5</v>
      </c>
    </row>
    <row r="152" spans="2:8">
      <c r="B152" t="s">
        <v>429</v>
      </c>
      <c r="C152" s="12">
        <v>13</v>
      </c>
      <c r="D152" s="12">
        <v>392.8</v>
      </c>
      <c r="F152" t="s">
        <v>2522</v>
      </c>
      <c r="G152" t="s">
        <v>641</v>
      </c>
      <c r="H152" s="12">
        <v>800.3</v>
      </c>
    </row>
    <row r="153" spans="2:8">
      <c r="B153" t="s">
        <v>72</v>
      </c>
      <c r="C153" s="12">
        <v>364</v>
      </c>
      <c r="D153" s="12">
        <v>16172.000000000005</v>
      </c>
      <c r="F153" t="s">
        <v>2522</v>
      </c>
      <c r="G153" t="s">
        <v>243</v>
      </c>
      <c r="H153" s="12">
        <v>615.29999999999995</v>
      </c>
    </row>
    <row r="154" spans="2:8">
      <c r="B154" t="s">
        <v>74</v>
      </c>
      <c r="C154" s="12">
        <v>95</v>
      </c>
      <c r="D154" s="12">
        <v>4334.9999999999991</v>
      </c>
      <c r="F154" t="s">
        <v>2522</v>
      </c>
      <c r="G154" t="s">
        <v>416</v>
      </c>
      <c r="H154" s="12">
        <v>445.79999999999995</v>
      </c>
    </row>
    <row r="155" spans="2:8">
      <c r="B155" t="s">
        <v>77</v>
      </c>
      <c r="C155" s="12">
        <v>737</v>
      </c>
      <c r="D155" s="12">
        <v>37449.000000000007</v>
      </c>
      <c r="F155" t="s">
        <v>2522</v>
      </c>
      <c r="G155" t="s">
        <v>429</v>
      </c>
      <c r="H155" s="12">
        <v>392.8</v>
      </c>
    </row>
    <row r="156" spans="2:8">
      <c r="B156" t="s">
        <v>309</v>
      </c>
      <c r="C156" s="12">
        <v>39</v>
      </c>
      <c r="D156" s="12">
        <v>2447.5</v>
      </c>
      <c r="F156" t="s">
        <v>2522</v>
      </c>
      <c r="G156" t="s">
        <v>208</v>
      </c>
      <c r="H156" s="12">
        <v>343.2</v>
      </c>
    </row>
    <row r="157" spans="2:8">
      <c r="B157" t="s">
        <v>1116</v>
      </c>
      <c r="C157" s="12">
        <v>56</v>
      </c>
      <c r="D157" s="12">
        <v>3391.1</v>
      </c>
      <c r="F157" t="s">
        <v>2522</v>
      </c>
      <c r="G157" t="s">
        <v>268</v>
      </c>
      <c r="H157" s="12">
        <v>332.3</v>
      </c>
    </row>
    <row r="158" spans="2:8">
      <c r="B158" t="s">
        <v>700</v>
      </c>
      <c r="C158" s="12">
        <v>2</v>
      </c>
      <c r="D158" s="12">
        <v>30.8</v>
      </c>
      <c r="F158" t="s">
        <v>2522</v>
      </c>
      <c r="G158" t="s">
        <v>84</v>
      </c>
      <c r="H158" s="12">
        <v>326.20000000000005</v>
      </c>
    </row>
    <row r="159" spans="2:8">
      <c r="B159" t="s">
        <v>268</v>
      </c>
      <c r="C159" s="12">
        <v>8</v>
      </c>
      <c r="D159" s="12">
        <v>332.3</v>
      </c>
      <c r="F159" t="s">
        <v>2522</v>
      </c>
      <c r="G159" t="s">
        <v>79</v>
      </c>
      <c r="H159" s="12">
        <v>323</v>
      </c>
    </row>
    <row r="160" spans="2:8">
      <c r="B160" t="s">
        <v>377</v>
      </c>
      <c r="C160" s="12">
        <v>52</v>
      </c>
      <c r="D160" s="12">
        <v>3175.9999999999995</v>
      </c>
      <c r="F160" t="s">
        <v>2522</v>
      </c>
      <c r="G160" t="s">
        <v>2204</v>
      </c>
      <c r="H160" s="12">
        <v>322.40000000000003</v>
      </c>
    </row>
    <row r="161" spans="1:8">
      <c r="B161" t="s">
        <v>108</v>
      </c>
      <c r="C161" s="12">
        <v>295</v>
      </c>
      <c r="D161" s="12">
        <v>20939.600000000002</v>
      </c>
      <c r="F161" t="s">
        <v>2522</v>
      </c>
      <c r="G161" t="s">
        <v>1911</v>
      </c>
      <c r="H161" s="12">
        <v>285</v>
      </c>
    </row>
    <row r="162" spans="1:8">
      <c r="B162" t="s">
        <v>110</v>
      </c>
      <c r="C162" s="12">
        <v>195</v>
      </c>
      <c r="D162" s="12">
        <v>10185.899999999996</v>
      </c>
      <c r="F162" t="s">
        <v>2522</v>
      </c>
      <c r="G162" t="s">
        <v>258</v>
      </c>
      <c r="H162" s="12">
        <v>273.59999999999997</v>
      </c>
    </row>
    <row r="163" spans="1:8">
      <c r="B163" t="s">
        <v>292</v>
      </c>
      <c r="C163" s="12">
        <v>20</v>
      </c>
      <c r="D163" s="12">
        <v>958.7</v>
      </c>
      <c r="F163" t="s">
        <v>2522</v>
      </c>
      <c r="G163" t="s">
        <v>338</v>
      </c>
      <c r="H163" s="12">
        <v>206.1</v>
      </c>
    </row>
    <row r="164" spans="1:8">
      <c r="B164" t="s">
        <v>79</v>
      </c>
      <c r="C164" s="12">
        <v>6</v>
      </c>
      <c r="D164" s="12">
        <v>323</v>
      </c>
      <c r="F164" t="s">
        <v>2522</v>
      </c>
      <c r="G164" t="s">
        <v>670</v>
      </c>
      <c r="H164" s="12">
        <v>204.8</v>
      </c>
    </row>
    <row r="165" spans="1:8">
      <c r="B165" t="s">
        <v>608</v>
      </c>
      <c r="C165" s="12">
        <v>5</v>
      </c>
      <c r="D165" s="12">
        <v>167.70000000000002</v>
      </c>
      <c r="F165" t="s">
        <v>2522</v>
      </c>
      <c r="G165" t="s">
        <v>608</v>
      </c>
      <c r="H165" s="12">
        <v>167.70000000000002</v>
      </c>
    </row>
    <row r="166" spans="1:8">
      <c r="B166" t="s">
        <v>113</v>
      </c>
      <c r="C166" s="12">
        <v>94</v>
      </c>
      <c r="D166" s="12">
        <v>3978.5</v>
      </c>
      <c r="F166" t="s">
        <v>2522</v>
      </c>
      <c r="G166" t="s">
        <v>1383</v>
      </c>
      <c r="H166" s="12">
        <v>167.5</v>
      </c>
    </row>
    <row r="167" spans="1:8">
      <c r="B167" t="s">
        <v>997</v>
      </c>
      <c r="C167" s="12">
        <v>28</v>
      </c>
      <c r="D167" s="12">
        <v>1405</v>
      </c>
      <c r="F167" t="s">
        <v>2522</v>
      </c>
      <c r="G167" t="s">
        <v>700</v>
      </c>
      <c r="H167" s="12">
        <v>30.8</v>
      </c>
    </row>
    <row r="168" spans="1:8">
      <c r="B168" t="s">
        <v>82</v>
      </c>
      <c r="C168" s="12">
        <v>179</v>
      </c>
      <c r="D168" s="12">
        <v>9869.0999999999985</v>
      </c>
      <c r="F168" t="s">
        <v>2522</v>
      </c>
      <c r="G168" t="s">
        <v>392</v>
      </c>
      <c r="H168" s="12">
        <v>28.4</v>
      </c>
    </row>
    <row r="169" spans="1:8">
      <c r="B169" t="s">
        <v>243</v>
      </c>
      <c r="C169" s="12">
        <v>15</v>
      </c>
      <c r="D169" s="12">
        <v>615.29999999999995</v>
      </c>
      <c r="F169" t="s">
        <v>2522</v>
      </c>
      <c r="G169" t="s">
        <v>1426</v>
      </c>
      <c r="H169" s="12">
        <v>26.2</v>
      </c>
    </row>
    <row r="170" spans="1:8">
      <c r="B170" t="s">
        <v>1911</v>
      </c>
      <c r="C170" s="12">
        <v>3</v>
      </c>
      <c r="D170" s="12">
        <v>285</v>
      </c>
      <c r="F170" t="s">
        <v>2522</v>
      </c>
      <c r="G170" t="s">
        <v>20</v>
      </c>
      <c r="H170" s="12">
        <v>10.9</v>
      </c>
    </row>
    <row r="171" spans="1:8">
      <c r="A171" t="s">
        <v>2523</v>
      </c>
      <c r="C171" s="12">
        <v>11997</v>
      </c>
      <c r="D171" s="12">
        <v>649019.79999999981</v>
      </c>
    </row>
    <row r="172" spans="1:8">
      <c r="A172" t="s">
        <v>2513</v>
      </c>
      <c r="C172" s="12">
        <v>11997</v>
      </c>
      <c r="D172" s="12">
        <v>649019.79999999981</v>
      </c>
    </row>
    <row r="176" spans="1:8">
      <c r="A176" s="19" t="s">
        <v>12</v>
      </c>
      <c r="B176" t="s">
        <v>2504</v>
      </c>
    </row>
    <row r="177" spans="1:2">
      <c r="A177">
        <v>0</v>
      </c>
      <c r="B177" s="12">
        <v>175</v>
      </c>
    </row>
    <row r="178" spans="1:2">
      <c r="A178">
        <v>1</v>
      </c>
      <c r="B178" s="12">
        <v>888</v>
      </c>
    </row>
    <row r="179" spans="1:2">
      <c r="A179">
        <v>2</v>
      </c>
      <c r="B179" s="12">
        <v>538</v>
      </c>
    </row>
    <row r="180" spans="1:2">
      <c r="A180">
        <v>3</v>
      </c>
      <c r="B180" s="12">
        <v>344</v>
      </c>
    </row>
    <row r="181" spans="1:2">
      <c r="A181">
        <v>4</v>
      </c>
      <c r="B181" s="12">
        <v>200</v>
      </c>
    </row>
    <row r="182" spans="1:2">
      <c r="A182">
        <v>5</v>
      </c>
      <c r="B182" s="12">
        <v>94</v>
      </c>
    </row>
    <row r="183" spans="1:2">
      <c r="A183">
        <v>6</v>
      </c>
      <c r="B183" s="12">
        <v>51</v>
      </c>
    </row>
    <row r="184" spans="1:2">
      <c r="A184">
        <v>7</v>
      </c>
      <c r="B184" s="12">
        <v>32</v>
      </c>
    </row>
    <row r="185" spans="1:2">
      <c r="A185">
        <v>8</v>
      </c>
      <c r="B185" s="12">
        <v>23</v>
      </c>
    </row>
    <row r="186" spans="1:2">
      <c r="A186">
        <v>9</v>
      </c>
      <c r="B186" s="12">
        <v>9</v>
      </c>
    </row>
    <row r="187" spans="1:2">
      <c r="A187">
        <v>10</v>
      </c>
      <c r="B187" s="12">
        <v>8</v>
      </c>
    </row>
    <row r="188" spans="1:2">
      <c r="A188">
        <v>11</v>
      </c>
      <c r="B188" s="12">
        <v>11</v>
      </c>
    </row>
    <row r="189" spans="1:2">
      <c r="A189">
        <v>12</v>
      </c>
      <c r="B189" s="12">
        <v>4</v>
      </c>
    </row>
    <row r="190" spans="1:2">
      <c r="A190">
        <v>13</v>
      </c>
      <c r="B190" s="12">
        <v>10</v>
      </c>
    </row>
    <row r="191" spans="1:2">
      <c r="A191">
        <v>14</v>
      </c>
      <c r="B191" s="12">
        <v>13</v>
      </c>
    </row>
    <row r="192" spans="1:2">
      <c r="A192" t="s">
        <v>2513</v>
      </c>
      <c r="B192" s="12">
        <v>2400</v>
      </c>
    </row>
    <row r="195" spans="1:2">
      <c r="A195" s="19" t="s">
        <v>9</v>
      </c>
      <c r="B195" t="s">
        <v>2504</v>
      </c>
    </row>
    <row r="196" spans="1:2">
      <c r="A196">
        <v>1</v>
      </c>
      <c r="B196" s="12">
        <v>21</v>
      </c>
    </row>
    <row r="197" spans="1:2">
      <c r="A197">
        <v>2</v>
      </c>
      <c r="B197" s="12">
        <v>127</v>
      </c>
    </row>
    <row r="198" spans="1:2">
      <c r="A198">
        <v>3</v>
      </c>
      <c r="B198" s="12">
        <v>495</v>
      </c>
    </row>
    <row r="199" spans="1:2">
      <c r="A199">
        <v>4</v>
      </c>
      <c r="B199" s="12">
        <v>1036</v>
      </c>
    </row>
    <row r="200" spans="1:2">
      <c r="A200">
        <v>5</v>
      </c>
      <c r="B200" s="12">
        <v>721</v>
      </c>
    </row>
    <row r="201" spans="1:2">
      <c r="A201" t="s">
        <v>2513</v>
      </c>
      <c r="B201" s="12">
        <v>2400</v>
      </c>
    </row>
  </sheetData>
  <sortState xmlns:xlrd2="http://schemas.microsoft.com/office/spreadsheetml/2017/richdata2" ref="F113:H170">
    <sortCondition descending="1" ref="H113:H170"/>
  </sortState>
  <conditionalFormatting sqref="I26:L3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67F3-9B1F-4E76-93FF-B0BCB729337C}">
  <dimension ref="B2:B18"/>
  <sheetViews>
    <sheetView workbookViewId="0">
      <selection activeCell="B18" sqref="B18"/>
    </sheetView>
  </sheetViews>
  <sheetFormatPr defaultRowHeight="14.45"/>
  <cols>
    <col min="1" max="1" width="3.7109375" customWidth="1"/>
    <col min="2" max="2" width="52.7109375" customWidth="1"/>
  </cols>
  <sheetData>
    <row r="2" spans="2:2">
      <c r="B2" s="3" t="s">
        <v>2524</v>
      </c>
    </row>
    <row r="3" spans="2:2">
      <c r="B3" s="4" t="s">
        <v>2525</v>
      </c>
    </row>
    <row r="4" spans="2:2">
      <c r="B4" s="4" t="s">
        <v>2526</v>
      </c>
    </row>
    <row r="5" spans="2:2">
      <c r="B5" s="4" t="s">
        <v>2527</v>
      </c>
    </row>
    <row r="6" spans="2:2">
      <c r="B6" s="4" t="s">
        <v>2528</v>
      </c>
    </row>
    <row r="7" spans="2:2">
      <c r="B7" s="4" t="s">
        <v>2529</v>
      </c>
    </row>
    <row r="10" spans="2:2">
      <c r="B10" s="3" t="s">
        <v>2530</v>
      </c>
    </row>
    <row r="11" spans="2:2">
      <c r="B11" t="s">
        <v>2531</v>
      </c>
    </row>
    <row r="12" spans="2:2">
      <c r="B12" t="s">
        <v>2532</v>
      </c>
    </row>
    <row r="13" spans="2:2">
      <c r="B13" t="s">
        <v>2533</v>
      </c>
    </row>
    <row r="14" spans="2:2">
      <c r="B14" t="s">
        <v>2534</v>
      </c>
    </row>
    <row r="15" spans="2:2">
      <c r="B15" t="s">
        <v>2535</v>
      </c>
    </row>
    <row r="16" spans="2:2">
      <c r="B16" t="s">
        <v>2536</v>
      </c>
    </row>
    <row r="17" spans="2:2">
      <c r="B17" t="s">
        <v>2537</v>
      </c>
    </row>
    <row r="18" spans="2:2">
      <c r="B18" t="s">
        <v>2538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FF67-6F2A-40D1-BD8F-FC8AD44723FB}">
  <dimension ref="B1:W28"/>
  <sheetViews>
    <sheetView tabSelected="1" workbookViewId="0">
      <selection activeCell="R40" sqref="R40"/>
    </sheetView>
  </sheetViews>
  <sheetFormatPr defaultRowHeight="15"/>
  <cols>
    <col min="1" max="1" width="3.28515625" customWidth="1"/>
    <col min="2" max="2" width="19.7109375" customWidth="1"/>
    <col min="3" max="4" width="3.28515625" customWidth="1"/>
    <col min="9" max="9" width="14.5703125" customWidth="1"/>
    <col min="10" max="10" width="1" customWidth="1"/>
    <col min="11" max="11" width="10.85546875" bestFit="1" customWidth="1"/>
    <col min="12" max="13" width="7.42578125" bestFit="1" customWidth="1"/>
    <col min="14" max="15" width="8.85546875" bestFit="1" customWidth="1"/>
    <col min="16" max="16" width="1.28515625" customWidth="1"/>
    <col min="20" max="20" width="3.28515625" customWidth="1"/>
  </cols>
  <sheetData>
    <row r="1" spans="2:23">
      <c r="B1" s="15"/>
      <c r="C1" s="15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2:23">
      <c r="B2" s="15"/>
      <c r="C2" s="15"/>
      <c r="D2" s="32"/>
      <c r="E2" s="32"/>
      <c r="F2" s="32"/>
      <c r="G2" s="32"/>
      <c r="H2" s="32"/>
      <c r="I2" s="32"/>
      <c r="J2" s="34"/>
      <c r="K2" s="34"/>
      <c r="L2" s="34"/>
      <c r="M2" s="34"/>
      <c r="N2" s="34"/>
      <c r="O2" s="34"/>
      <c r="P2" s="34"/>
      <c r="Q2" s="32"/>
      <c r="R2" s="32"/>
      <c r="S2" s="32"/>
      <c r="T2" s="32"/>
      <c r="U2" s="32"/>
      <c r="V2" s="32"/>
      <c r="W2" s="32"/>
    </row>
    <row r="3" spans="2:23">
      <c r="B3" s="15"/>
      <c r="C3" s="15"/>
      <c r="D3" s="32"/>
      <c r="E3" s="32"/>
      <c r="F3" s="32"/>
      <c r="G3" s="32"/>
      <c r="H3" s="32"/>
      <c r="I3" s="32"/>
      <c r="J3" s="22"/>
      <c r="K3" s="22"/>
      <c r="L3" s="23" t="s">
        <v>2514</v>
      </c>
      <c r="M3" s="23" t="s">
        <v>2515</v>
      </c>
      <c r="N3" s="23" t="s">
        <v>2516</v>
      </c>
      <c r="O3" s="24" t="s">
        <v>2517</v>
      </c>
      <c r="P3" s="35"/>
      <c r="Q3" s="32"/>
      <c r="R3" s="32"/>
      <c r="S3" s="32"/>
      <c r="T3" s="32"/>
      <c r="U3" s="32"/>
      <c r="V3" s="32"/>
      <c r="W3" s="32"/>
    </row>
    <row r="4" spans="2:23" ht="16.5">
      <c r="B4" s="16" t="s">
        <v>2539</v>
      </c>
      <c r="C4" s="15"/>
      <c r="D4" s="32"/>
      <c r="E4" s="32"/>
      <c r="F4" s="32"/>
      <c r="G4" s="32"/>
      <c r="H4" s="32"/>
      <c r="I4" s="32"/>
      <c r="J4" s="22"/>
      <c r="K4" s="25" t="s">
        <v>18</v>
      </c>
      <c r="L4" s="26">
        <v>0.18961825201634841</v>
      </c>
      <c r="M4" s="26">
        <v>0.12262322351336576</v>
      </c>
      <c r="N4" s="26">
        <v>1.060537752469185E-2</v>
      </c>
      <c r="O4" s="27">
        <v>3.0599220547662797E-2</v>
      </c>
      <c r="P4" s="35"/>
      <c r="Q4" s="32"/>
      <c r="R4" s="32"/>
      <c r="S4" s="32"/>
      <c r="T4" s="32"/>
      <c r="U4" s="32"/>
      <c r="V4" s="32"/>
      <c r="W4" s="32"/>
    </row>
    <row r="5" spans="2:23" ht="14.45" customHeight="1">
      <c r="B5" s="36" t="str">
        <f>Pivot!G4</f>
        <v>2,400</v>
      </c>
      <c r="C5" s="15"/>
      <c r="D5" s="32"/>
      <c r="E5" s="32"/>
      <c r="F5" s="32"/>
      <c r="G5" s="32"/>
      <c r="H5" s="32"/>
      <c r="I5" s="32"/>
      <c r="J5" s="22"/>
      <c r="K5" s="25" t="s">
        <v>51</v>
      </c>
      <c r="L5" s="26">
        <v>5.0283982091147303E-2</v>
      </c>
      <c r="M5" s="26">
        <v>4.3060781812819873E-2</v>
      </c>
      <c r="N5" s="26">
        <v>1.5320025675641944E-3</v>
      </c>
      <c r="O5" s="27">
        <v>1.7794988689097006E-2</v>
      </c>
      <c r="P5" s="35"/>
      <c r="Q5" s="32"/>
      <c r="R5" s="32"/>
      <c r="S5" s="32"/>
      <c r="T5" s="32"/>
      <c r="U5" s="32"/>
      <c r="V5" s="32"/>
      <c r="W5" s="32"/>
    </row>
    <row r="6" spans="2:23" ht="14.45" customHeight="1">
      <c r="B6" s="36"/>
      <c r="C6" s="15"/>
      <c r="D6" s="32"/>
      <c r="E6" s="32"/>
      <c r="F6" s="32"/>
      <c r="G6" s="32"/>
      <c r="H6" s="32"/>
      <c r="I6" s="32"/>
      <c r="J6" s="22"/>
      <c r="K6" s="25" t="s">
        <v>70</v>
      </c>
      <c r="L6" s="26">
        <v>6.3496059750411282E-2</v>
      </c>
      <c r="M6" s="26">
        <v>4.6071629863988765E-2</v>
      </c>
      <c r="N6" s="26">
        <v>2.306247051322625E-3</v>
      </c>
      <c r="O6" s="27">
        <v>3.8927934093844286E-3</v>
      </c>
      <c r="P6" s="35"/>
      <c r="Q6" s="32"/>
      <c r="R6" s="32"/>
      <c r="S6" s="32"/>
      <c r="T6" s="32"/>
      <c r="U6" s="32"/>
      <c r="V6" s="32"/>
      <c r="W6" s="32"/>
    </row>
    <row r="7" spans="2:23">
      <c r="B7" s="15"/>
      <c r="C7" s="15"/>
      <c r="D7" s="32"/>
      <c r="E7" s="32"/>
      <c r="F7" s="32"/>
      <c r="G7" s="32"/>
      <c r="H7" s="32"/>
      <c r="I7" s="32"/>
      <c r="J7" s="22"/>
      <c r="K7" s="25" t="s">
        <v>40</v>
      </c>
      <c r="L7" s="26">
        <v>9.6337892927149532E-2</v>
      </c>
      <c r="M7" s="26">
        <v>6.7920115842382611E-2</v>
      </c>
      <c r="N7" s="26">
        <v>5.4979832664581261E-3</v>
      </c>
      <c r="O7" s="27">
        <v>1.2933041488102518E-2</v>
      </c>
      <c r="P7" s="35"/>
      <c r="Q7" s="32"/>
      <c r="R7" s="32"/>
      <c r="S7" s="32"/>
      <c r="T7" s="32"/>
      <c r="U7" s="32"/>
      <c r="V7" s="32"/>
      <c r="W7" s="32"/>
    </row>
    <row r="8" spans="2:23" ht="16.5">
      <c r="B8" s="17" t="s">
        <v>2540</v>
      </c>
      <c r="C8" s="15"/>
      <c r="D8" s="32"/>
      <c r="E8" s="32"/>
      <c r="F8" s="32"/>
      <c r="G8" s="32"/>
      <c r="H8" s="32"/>
      <c r="I8" s="32"/>
      <c r="J8" s="22"/>
      <c r="K8" s="28" t="s">
        <v>35</v>
      </c>
      <c r="L8" s="29">
        <v>0.12522098709469262</v>
      </c>
      <c r="M8" s="29">
        <v>9.1492740283116228E-2</v>
      </c>
      <c r="N8" s="29">
        <v>6.3042760790965081E-3</v>
      </c>
      <c r="O8" s="30">
        <v>1.2408404181197551E-2</v>
      </c>
      <c r="P8" s="35"/>
      <c r="Q8" s="32"/>
      <c r="R8" s="32"/>
      <c r="S8" s="32"/>
      <c r="T8" s="32"/>
      <c r="U8" s="32"/>
      <c r="V8" s="32"/>
      <c r="W8" s="32"/>
    </row>
    <row r="9" spans="2:23" ht="8.25" customHeight="1">
      <c r="B9" s="37" t="str">
        <f>Pivot!H4</f>
        <v>11,997</v>
      </c>
      <c r="C9" s="15"/>
      <c r="D9" s="32"/>
      <c r="E9" s="32"/>
      <c r="F9" s="32"/>
      <c r="G9" s="32"/>
      <c r="H9" s="32"/>
      <c r="I9" s="32"/>
      <c r="J9" s="22"/>
      <c r="K9" s="35"/>
      <c r="L9" s="35"/>
      <c r="M9" s="35"/>
      <c r="N9" s="35"/>
      <c r="O9" s="35"/>
      <c r="P9" s="35"/>
      <c r="Q9" s="32"/>
      <c r="R9" s="32"/>
      <c r="S9" s="32"/>
      <c r="T9" s="32"/>
      <c r="U9" s="32"/>
      <c r="V9" s="32"/>
      <c r="W9" s="32"/>
    </row>
    <row r="10" spans="2:23" ht="14.45" customHeight="1">
      <c r="B10" s="37"/>
      <c r="C10" s="15"/>
      <c r="D10" s="32"/>
      <c r="E10" s="32"/>
      <c r="F10" s="32"/>
      <c r="G10" s="32"/>
      <c r="H10" s="32"/>
      <c r="I10" s="32"/>
      <c r="J10" s="33"/>
      <c r="K10" s="33"/>
      <c r="L10" s="33"/>
      <c r="M10" s="33"/>
      <c r="N10" s="33"/>
      <c r="O10" s="33"/>
      <c r="P10" s="32"/>
      <c r="Q10" s="32"/>
      <c r="R10" s="32"/>
      <c r="S10" s="32"/>
      <c r="T10" s="32"/>
      <c r="U10" s="32"/>
      <c r="V10" s="32"/>
      <c r="W10" s="32"/>
    </row>
    <row r="11" spans="2:23">
      <c r="B11" s="15"/>
      <c r="C11" s="15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</row>
    <row r="12" spans="2:23" ht="16.5">
      <c r="B12" s="17" t="s">
        <v>2541</v>
      </c>
      <c r="C12" s="15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</row>
    <row r="13" spans="2:23" ht="14.45" customHeight="1">
      <c r="B13" s="37" t="str">
        <f>Pivot!I4</f>
        <v>$649.0k</v>
      </c>
      <c r="C13" s="15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</row>
    <row r="14" spans="2:23" ht="14.45" customHeight="1">
      <c r="B14" s="37"/>
      <c r="C14" s="15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</row>
    <row r="15" spans="2:23">
      <c r="B15" s="15"/>
      <c r="C15" s="15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</row>
    <row r="16" spans="2:23" ht="16.5">
      <c r="B16" s="17" t="s">
        <v>2542</v>
      </c>
      <c r="C16" s="15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</row>
    <row r="17" spans="2:23" ht="14.45" customHeight="1">
      <c r="B17" s="37" t="str">
        <f>Pivot!J4</f>
        <v>4.0</v>
      </c>
      <c r="C17" s="15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</row>
    <row r="18" spans="2:23" ht="14.45" customHeight="1">
      <c r="B18" s="37"/>
      <c r="C18" s="15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</row>
    <row r="19" spans="2:23">
      <c r="B19" s="15"/>
      <c r="C19" s="15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  <row r="20" spans="2:23" ht="15.75">
      <c r="B20" s="18" t="s">
        <v>2543</v>
      </c>
      <c r="C20" s="15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</row>
    <row r="21" spans="2:23" ht="14.45" customHeight="1">
      <c r="B21" s="37" t="str">
        <f>Pivot!K4</f>
        <v>2.3</v>
      </c>
      <c r="C21" s="15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</row>
    <row r="22" spans="2:23" ht="14.45" customHeight="1">
      <c r="B22" s="37"/>
      <c r="C22" s="15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</row>
    <row r="23" spans="2:23">
      <c r="B23" s="15"/>
      <c r="C23" s="15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</row>
    <row r="24" spans="2:23">
      <c r="B24" s="15"/>
      <c r="C24" s="15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</row>
    <row r="25" spans="2:23">
      <c r="B25" s="15"/>
      <c r="C25" s="15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</row>
    <row r="26" spans="2:23">
      <c r="B26" s="15"/>
      <c r="C26" s="15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</row>
    <row r="27" spans="2:23">
      <c r="B27" s="15"/>
      <c r="C27" s="15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</row>
    <row r="28" spans="2:23">
      <c r="B28" s="15"/>
      <c r="C28" s="15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</row>
  </sheetData>
  <mergeCells count="8">
    <mergeCell ref="B13:B14"/>
    <mergeCell ref="B17:B18"/>
    <mergeCell ref="B21:B22"/>
    <mergeCell ref="J2:P2"/>
    <mergeCell ref="K9:O9"/>
    <mergeCell ref="P3:P9"/>
    <mergeCell ref="B5:B6"/>
    <mergeCell ref="B9:B10"/>
  </mergeCells>
  <conditionalFormatting sqref="L4:O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D30B-60E4-4685-B421-10EFD7769A97}">
  <dimension ref="B2:H24"/>
  <sheetViews>
    <sheetView workbookViewId="0">
      <selection activeCell="N7" sqref="N7"/>
    </sheetView>
  </sheetViews>
  <sheetFormatPr defaultRowHeight="14.45"/>
  <cols>
    <col min="1" max="1" width="3.28515625" customWidth="1"/>
    <col min="8" max="8" width="37.28515625" customWidth="1"/>
  </cols>
  <sheetData>
    <row r="2" spans="2:8">
      <c r="H2" t="s">
        <v>2544</v>
      </c>
    </row>
    <row r="3" spans="2:8">
      <c r="B3" t="s">
        <v>2545</v>
      </c>
    </row>
    <row r="4" spans="2:8">
      <c r="H4" s="11" t="s">
        <v>2546</v>
      </c>
    </row>
    <row r="5" spans="2:8">
      <c r="B5" t="s">
        <v>2547</v>
      </c>
      <c r="H5" s="11" t="s">
        <v>2548</v>
      </c>
    </row>
    <row r="6" spans="2:8">
      <c r="B6" s="5"/>
      <c r="C6" t="s">
        <v>2549</v>
      </c>
      <c r="D6" t="s">
        <v>2550</v>
      </c>
      <c r="H6" t="s">
        <v>2551</v>
      </c>
    </row>
    <row r="7" spans="2:8">
      <c r="B7" s="6"/>
      <c r="C7" t="s">
        <v>2552</v>
      </c>
      <c r="D7" t="s">
        <v>2553</v>
      </c>
    </row>
    <row r="8" spans="2:8">
      <c r="B8" s="7"/>
      <c r="C8" t="s">
        <v>2554</v>
      </c>
      <c r="D8" t="s">
        <v>2555</v>
      </c>
    </row>
    <row r="9" spans="2:8">
      <c r="B9" s="8"/>
      <c r="C9" t="s">
        <v>2556</v>
      </c>
      <c r="D9" t="s">
        <v>2557</v>
      </c>
    </row>
    <row r="10" spans="2:8">
      <c r="B10" s="9"/>
      <c r="C10" t="s">
        <v>2558</v>
      </c>
      <c r="D10" t="s">
        <v>2559</v>
      </c>
    </row>
    <row r="11" spans="2:8">
      <c r="B11" s="2"/>
      <c r="C11" t="s">
        <v>2560</v>
      </c>
      <c r="D11" t="s">
        <v>2561</v>
      </c>
    </row>
    <row r="13" spans="2:8">
      <c r="B13" t="s">
        <v>2562</v>
      </c>
    </row>
    <row r="14" spans="2:8">
      <c r="B14" t="s">
        <v>2563</v>
      </c>
      <c r="C14" t="s">
        <v>2509</v>
      </c>
    </row>
    <row r="15" spans="2:8">
      <c r="B15" t="s">
        <v>2564</v>
      </c>
      <c r="C15" t="s">
        <v>2</v>
      </c>
    </row>
    <row r="16" spans="2:8">
      <c r="B16" t="s">
        <v>2565</v>
      </c>
      <c r="C16" t="s">
        <v>4</v>
      </c>
    </row>
    <row r="17" spans="2:3">
      <c r="B17" t="s">
        <v>2566</v>
      </c>
      <c r="C17" t="s">
        <v>2567</v>
      </c>
    </row>
    <row r="18" spans="2:3">
      <c r="B18" t="s">
        <v>2568</v>
      </c>
      <c r="C18" t="s">
        <v>2569</v>
      </c>
    </row>
    <row r="21" spans="2:3">
      <c r="B21" t="s">
        <v>2570</v>
      </c>
    </row>
    <row r="22" spans="2:3">
      <c r="B22" t="s">
        <v>2571</v>
      </c>
      <c r="C22" t="s">
        <v>2572</v>
      </c>
    </row>
    <row r="23" spans="2:3">
      <c r="B23" t="s">
        <v>2573</v>
      </c>
      <c r="C23" t="s">
        <v>2574</v>
      </c>
    </row>
    <row r="24" spans="2:3">
      <c r="B24" s="10" t="s">
        <v>2575</v>
      </c>
      <c r="C24" t="s">
        <v>2576</v>
      </c>
    </row>
  </sheetData>
  <phoneticPr fontId="2" type="noConversion"/>
  <hyperlinks>
    <hyperlink ref="H4" r:id="rId1" xr:uid="{A77862B0-B580-43DF-9272-7B32B5A35427}"/>
    <hyperlink ref="H5" r:id="rId2" xr:uid="{602AE8E3-2587-4F74-A241-C4690768D1EC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Chandoo ORG</dc:creator>
  <cp:keywords/>
  <dc:description/>
  <cp:lastModifiedBy/>
  <cp:revision/>
  <dcterms:created xsi:type="dcterms:W3CDTF">2025-06-13T02:42:26Z</dcterms:created>
  <dcterms:modified xsi:type="dcterms:W3CDTF">2026-06-13T11:18:40Z</dcterms:modified>
  <cp:category/>
  <cp:contentStatus/>
</cp:coreProperties>
</file>